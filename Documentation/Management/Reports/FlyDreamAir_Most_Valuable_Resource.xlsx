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OW\CSIT214 IT Project Management\FlyDreamAir\Documentation\Management\Reports\"/>
    </mc:Choice>
  </mc:AlternateContent>
  <xr:revisionPtr revIDLastSave="0" documentId="13_ncr:1_{D73658B7-8EA9-4D6C-A238-764A529B9672}" xr6:coauthVersionLast="47" xr6:coauthVersionMax="47" xr10:uidLastSave="{00000000-0000-0000-0000-000000000000}"/>
  <bookViews>
    <workbookView xWindow="-120" yWindow="-120" windowWidth="29040" windowHeight="15840" xr2:uid="{64F56E0A-39E6-49DC-9E83-6C856E3BAFBB}"/>
  </bookViews>
  <sheets>
    <sheet name="Resourse Usage Baseline" sheetId="1" r:id="rId1"/>
    <sheet name="WBS Dictionary" sheetId="2" r:id="rId2"/>
    <sheet name="Cocomo II" sheetId="3" r:id="rId3"/>
    <sheet name="Function Point Analysis" sheetId="4" r:id="rId4"/>
    <sheet name="Financial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2" l="1"/>
  <c r="G36" i="2"/>
  <c r="G20" i="2"/>
  <c r="G15" i="2"/>
  <c r="G2" i="2" s="1"/>
  <c r="G9" i="2"/>
  <c r="G3" i="2"/>
  <c r="F2" i="2"/>
  <c r="F41" i="2"/>
  <c r="F36" i="2"/>
  <c r="F20" i="2"/>
  <c r="F15" i="2"/>
  <c r="F9" i="2"/>
  <c r="F3" i="2"/>
  <c r="C18" i="3"/>
  <c r="G6" i="3"/>
  <c r="D3" i="1"/>
  <c r="D11" i="1"/>
  <c r="D2" i="1"/>
  <c r="D49" i="1"/>
  <c r="D30" i="1"/>
  <c r="D22" i="1"/>
  <c r="E56" i="1"/>
  <c r="B20" i="5" s="1"/>
  <c r="D9" i="5"/>
  <c r="C9" i="5"/>
  <c r="C10" i="5" s="1"/>
  <c r="B9" i="5"/>
  <c r="B10" i="5" s="1"/>
  <c r="D5" i="5"/>
  <c r="C5" i="5"/>
  <c r="B5" i="5"/>
  <c r="C6" i="5"/>
  <c r="D10" i="5"/>
  <c r="D8" i="5"/>
  <c r="C8" i="5"/>
  <c r="D4" i="5"/>
  <c r="C4" i="5"/>
  <c r="B31" i="5"/>
  <c r="B8" i="5"/>
  <c r="B26" i="5"/>
  <c r="E73" i="1"/>
  <c r="E71" i="1"/>
  <c r="E69" i="1"/>
  <c r="E67" i="1"/>
  <c r="E65" i="1"/>
  <c r="E63" i="1"/>
  <c r="E61" i="1"/>
  <c r="E59" i="1"/>
  <c r="E57" i="1"/>
  <c r="E49" i="1"/>
  <c r="E30" i="1"/>
  <c r="E22" i="1"/>
  <c r="E11" i="1"/>
  <c r="E3" i="1"/>
  <c r="E2" i="1" s="1"/>
  <c r="G5" i="3"/>
  <c r="C8" i="3"/>
  <c r="C9" i="3" s="1"/>
  <c r="I17" i="4"/>
  <c r="I18" i="4" s="1"/>
  <c r="F3" i="4"/>
  <c r="F4" i="4"/>
  <c r="F5" i="4"/>
  <c r="F6" i="4"/>
  <c r="F2" i="4"/>
  <c r="F5" i="3" l="1"/>
  <c r="F6" i="3" s="1"/>
  <c r="H6" i="3" s="1"/>
  <c r="C12" i="5"/>
  <c r="F7" i="4"/>
  <c r="F8" i="4" s="1"/>
  <c r="B19" i="5"/>
  <c r="B21" i="5" s="1"/>
  <c r="B4" i="5" s="1"/>
  <c r="B6" i="5" s="1"/>
  <c r="B13" i="5" s="1"/>
  <c r="C13" i="5" s="1"/>
  <c r="D13" i="5" s="1"/>
  <c r="E76" i="1"/>
  <c r="E10" i="5"/>
  <c r="D6" i="5"/>
  <c r="D12" i="5" s="1"/>
  <c r="B12" i="5" l="1"/>
  <c r="E6" i="5"/>
  <c r="E15" i="5" s="1"/>
</calcChain>
</file>

<file path=xl/sharedStrings.xml><?xml version="1.0" encoding="utf-8"?>
<sst xmlns="http://schemas.openxmlformats.org/spreadsheetml/2006/main" count="443" uniqueCount="253">
  <si>
    <t>Human</t>
  </si>
  <si>
    <t>Harrington</t>
  </si>
  <si>
    <t>Cost &amp; Effort Estimate</t>
  </si>
  <si>
    <t>Final Report</t>
  </si>
  <si>
    <t>Formulate Initial Team Roles</t>
  </si>
  <si>
    <t>Draft &amp; Authorise Project Charter</t>
  </si>
  <si>
    <t>Project Deployment</t>
  </si>
  <si>
    <t>Identify Project Stakeholders</t>
  </si>
  <si>
    <t>Develop Business Case &amp; NPV</t>
  </si>
  <si>
    <t>Anas</t>
  </si>
  <si>
    <t>Project Scope</t>
  </si>
  <si>
    <t>[FR-02] Tiered Eligibility</t>
  </si>
  <si>
    <t>Functional Testing</t>
  </si>
  <si>
    <t>Performance &amp; Accessibility Checks</t>
  </si>
  <si>
    <t>WBS &amp; Dictionary</t>
  </si>
  <si>
    <t>Staff Training</t>
  </si>
  <si>
    <t>Denisha</t>
  </si>
  <si>
    <t>UI/UX Wireframe &amp; Style Guide</t>
  </si>
  <si>
    <t>[FR-07] QR Verification/Generation</t>
  </si>
  <si>
    <t>[FR-01] Identity &amp; Access</t>
  </si>
  <si>
    <t>[FR-04] Booking Lifecycle</t>
  </si>
  <si>
    <t>Adam</t>
  </si>
  <si>
    <t>[FR-06] Payment Processing</t>
  </si>
  <si>
    <t>Development Environment</t>
  </si>
  <si>
    <t>Pen Testing/ Bug Fixing</t>
  </si>
  <si>
    <t>[FR-03] Six-Month Gate</t>
  </si>
  <si>
    <t>Database Schema Design</t>
  </si>
  <si>
    <t>Database Seeding</t>
  </si>
  <si>
    <t>System Architecture Design</t>
  </si>
  <si>
    <t>[FR-05] Occupancy Logic</t>
  </si>
  <si>
    <t>[FR-8] Data Management</t>
  </si>
  <si>
    <t>Finley</t>
  </si>
  <si>
    <t>Risk Registry</t>
  </si>
  <si>
    <t>Other</t>
  </si>
  <si>
    <t>Production Hosting</t>
  </si>
  <si>
    <t>Domain &amp; SSL - Yearly</t>
  </si>
  <si>
    <t>Mock Flight Schedule API</t>
  </si>
  <si>
    <t>QR Code Scanners</t>
  </si>
  <si>
    <t>Self-Service Kiosks</t>
  </si>
  <si>
    <t>Contingency Fund</t>
  </si>
  <si>
    <t>Security Audit</t>
  </si>
  <si>
    <t>Legal &amp; Compliance</t>
  </si>
  <si>
    <t>Name</t>
  </si>
  <si>
    <t>Resource</t>
  </si>
  <si>
    <t>Units</t>
  </si>
  <si>
    <t>Baseline Work</t>
  </si>
  <si>
    <t>Baseline Cost</t>
  </si>
  <si>
    <t>Deliverable Name</t>
  </si>
  <si>
    <t>Description of Work</t>
  </si>
  <si>
    <t>Effort (Hrs)</t>
  </si>
  <si>
    <t>Cost (A$)</t>
  </si>
  <si>
    <t>Acceptance Criteria</t>
  </si>
  <si>
    <t>FlyDreamAir: Lounge Management System</t>
  </si>
  <si>
    <t>Overall project to develop a Lounge Management System for FlyDreamAir.</t>
  </si>
  <si>
    <t>-</t>
  </si>
  <si>
    <t>Final system meets all functional requirements and is accepted by the client.</t>
  </si>
  <si>
    <t>Starting phase to establish foundation and assign initial responsibilities.</t>
  </si>
  <si>
    <t>Completion and approval of all phase 1 documentation.</t>
  </si>
  <si>
    <t>Signed roles and responsibilities matrix.</t>
  </si>
  <si>
    <t>Stakeholder register identifying power and interest levels.</t>
  </si>
  <si>
    <t>Approved business case with positive NPV.</t>
  </si>
  <si>
    <t>Draft &amp; Authorize Project Charter</t>
  </si>
  <si>
    <t>Charter signed and authorized by project sponsor.</t>
  </si>
  <si>
    <t>Baseline project plan approved.</t>
  </si>
  <si>
    <t>Formally accepted Project Scope Statement.</t>
  </si>
  <si>
    <t>WBS hierarchy matches Gantt chart structure.</t>
  </si>
  <si>
    <t>Risk register with categorized impacts and mitigations.</t>
  </si>
  <si>
    <t>Final budget aligned with Resource Usage view.</t>
  </si>
  <si>
    <t>Completion of database, UI, and architecture specs.</t>
  </si>
  <si>
    <t>ERD and schema supporting all data requirements.</t>
  </si>
  <si>
    <t>Verified wireframes for all major system screens.</t>
  </si>
  <si>
    <t>Documented architecture and technology stack.</t>
  </si>
  <si>
    <t>4.1.1</t>
  </si>
  <si>
    <t>Configure tools, repository, framework, and working environment.</t>
  </si>
  <si>
    <t>GitHub repo active and development tools installed.</t>
  </si>
  <si>
    <t>4.1.2</t>
  </si>
  <si>
    <t>Database populated with functional test data.</t>
  </si>
  <si>
    <t>4.2.1</t>
  </si>
  <si>
    <t>Develop authentication and access control for staff/passengers.</t>
  </si>
  <si>
    <t>Secure login and role-based access verified.</t>
  </si>
  <si>
    <t>4.2.2</t>
  </si>
  <si>
    <t>[FR-08] Data Management</t>
  </si>
  <si>
    <t>CRUD operations for core data entities functional.</t>
  </si>
  <si>
    <t>4.3.1</t>
  </si>
  <si>
    <t>Implement membership tier validation (Blue and Gold).</t>
  </si>
  <si>
    <t>Correct tier assignment based on usage logic.</t>
  </si>
  <si>
    <t>4.3.2</t>
  </si>
  <si>
    <t>Access restricted for accounts under 180 days old.</t>
  </si>
  <si>
    <t>4.3.3</t>
  </si>
  <si>
    <t>System correctly calculates and displays occupancy.</t>
  </si>
  <si>
    <t>4.4.1</t>
  </si>
  <si>
    <t>End-to-end booking flow functional and tested.</t>
  </si>
  <si>
    <t>4.4.2</t>
  </si>
  <si>
    <t>Payment transaction records successfully generated.</t>
  </si>
  <si>
    <t>4.4.3</t>
  </si>
  <si>
    <t>QR codes generated and validated by scanner logic.</t>
  </si>
  <si>
    <t>All functional requirements pass verification.</t>
  </si>
  <si>
    <t>UI meets defined responsiveness and accessibility goals.</t>
  </si>
  <si>
    <t>Critical bugs resolved and security audit completed.</t>
  </si>
  <si>
    <t>Deploy final prototype for demonstration or implementation.</t>
  </si>
  <si>
    <t>System live on hosting environment with hardware.</t>
  </si>
  <si>
    <t>Training completed and user documentation delivered.</t>
  </si>
  <si>
    <t>Final report submitted and accepted on Moodle.</t>
  </si>
  <si>
    <t>Code</t>
  </si>
  <si>
    <t>Resources Assigned (Labor)</t>
  </si>
  <si>
    <t>Material / Non-Labor Costs</t>
  </si>
  <si>
    <t>Define team roles and responsibilities to ensure each member understands tasks.</t>
  </si>
  <si>
    <t>Harrington; Anas; Denisha; Adam; Finley</t>
  </si>
  <si>
    <t>Identify internal and external stakeholders who influence or are affected.</t>
  </si>
  <si>
    <t>Harrington; Finley</t>
  </si>
  <si>
    <t>Prepare business case including benefits, financial analysis, and NPV.</t>
  </si>
  <si>
    <t>Harrington; Anas</t>
  </si>
  <si>
    <t>Define project objectives, scope, stakeholders, and authority to proceed.</t>
  </si>
  <si>
    <t>Planning phase where boundaries, risks, costs, and structure are defined.</t>
  </si>
  <si>
    <t>Define project boundaries, key features, inclusions, and exclusions.</t>
  </si>
  <si>
    <t>Break project into manageable packages and provide definitions.</t>
  </si>
  <si>
    <t>Identify potential risks and record likelihood, impact, and response.</t>
  </si>
  <si>
    <t>Estimate budget, resource effort, and time required for completion.</t>
  </si>
  <si>
    <t>Phase where system designs are prepared before development begins.</t>
  </si>
  <si>
    <t>Design database structure for user accounts, bookings, and lounge ops.</t>
  </si>
  <si>
    <t>Design interface layout and visual style for staff and passengers.</t>
  </si>
  <si>
    <t>Define technical structure, modules, and component interactions.</t>
  </si>
  <si>
    <t>Dev Env; Mock Flight API</t>
  </si>
  <si>
    <t>Insert sample data to support testing and prototype demonstration.</t>
  </si>
  <si>
    <t>Denisha; Adam</t>
  </si>
  <si>
    <t>Implement functions for storing, retrieving, and updating data.</t>
  </si>
  <si>
    <t>Adam; Anas</t>
  </si>
  <si>
    <t>Implement rule for 6-month account age for pay-per-use eligibility.</t>
  </si>
  <si>
    <t>Develop logic for lounge capacity, occupancy, and availability.</t>
  </si>
  <si>
    <t>Implement booking creation, modification, and cancellation.</t>
  </si>
  <si>
    <t>Develop pay-per-use payment handling process.</t>
  </si>
  <si>
    <t>Implement QR generation and verification for entry validation.</t>
  </si>
  <si>
    <t>Test all system functions against project requirements.</t>
  </si>
  <si>
    <t>Anas; Adam</t>
  </si>
  <si>
    <t>Evaluate responsiveness, usability, and accessibility standards.</t>
  </si>
  <si>
    <t>Identify security issues and bugs; correct before deployment.</t>
  </si>
  <si>
    <t>Adam; Finley</t>
  </si>
  <si>
    <t>Adam; Harrington; Finley</t>
  </si>
  <si>
    <t>Hosting; SSL; Scanners; Kiosks; Legal</t>
  </si>
  <si>
    <t>Provide guidance to staff on using the new system.</t>
  </si>
  <si>
    <t>Anas; Denisha</t>
  </si>
  <si>
    <t>Compile and submit final report documenting conclusions.</t>
  </si>
  <si>
    <t>Count</t>
  </si>
  <si>
    <t>Complexity</t>
  </si>
  <si>
    <t>Weight</t>
  </si>
  <si>
    <t>Low</t>
  </si>
  <si>
    <t>ILF (Internal Logical Files)</t>
  </si>
  <si>
    <t>Tables you maintain: Users, Tiers, Bookings, Tenants, Products.</t>
  </si>
  <si>
    <t>EIF (External Interface Files)</t>
  </si>
  <si>
    <t>External data you read: Stripe Payment Status, Social Media Feeds.</t>
  </si>
  <si>
    <t>EI (External Inputs)</t>
  </si>
  <si>
    <t>Forms/Data entering: User Registration, Booking Creation, Tier Updates.</t>
  </si>
  <si>
    <t>EO (External Outputs)</t>
  </si>
  <si>
    <t>Calculated data leaving: Invoice Generation, Analytics Dashboard, QR Code.</t>
  </si>
  <si>
    <t>EQ (External Inquiries)</t>
  </si>
  <si>
    <t>Data retrieval (no calc): Check Occupancy, View Profile, Search Items.</t>
  </si>
  <si>
    <t>Total Unadjusted FP</t>
  </si>
  <si>
    <t>Component</t>
  </si>
  <si>
    <t>Description</t>
  </si>
  <si>
    <t>Total</t>
  </si>
  <si>
    <t>Med</t>
  </si>
  <si>
    <t>Total Adjusted Function Points</t>
  </si>
  <si>
    <t>Degree of Influence</t>
  </si>
  <si>
    <t>Characteristic</t>
  </si>
  <si>
    <t>Rating</t>
  </si>
  <si>
    <t>Data Communications</t>
  </si>
  <si>
    <t>Distributed Data</t>
  </si>
  <si>
    <t>Performance</t>
  </si>
  <si>
    <t>Heavily Used Config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</si>
  <si>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</si>
  <si>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</si>
  <si>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</si>
  <si>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</si>
  <si>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</si>
  <si>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</si>
  <si>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</si>
  <si>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</si>
  <si>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</si>
  <si>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</si>
  <si>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Scale Factor</t>
  </si>
  <si>
    <t>Score</t>
  </si>
  <si>
    <t>V. High</t>
  </si>
  <si>
    <t>Nominal</t>
  </si>
  <si>
    <t>High</t>
  </si>
  <si>
    <t>PREC (Precedentedness)</t>
  </si>
  <si>
    <t>FLEX (Flexibility)</t>
  </si>
  <si>
    <t>RESL (Architecture/Risk)</t>
  </si>
  <si>
    <t>TEAM (Cohesion)</t>
  </si>
  <si>
    <t>PMAT (Maturity)</t>
  </si>
  <si>
    <t>Total sum</t>
  </si>
  <si>
    <t>Scale Factors</t>
  </si>
  <si>
    <t>Effort Multipliers</t>
  </si>
  <si>
    <t>Driver</t>
  </si>
  <si>
    <t>Value</t>
  </si>
  <si>
    <t>RCPX (Complexity/Reliability)</t>
  </si>
  <si>
    <t>PERS (Personnel Capability)</t>
  </si>
  <si>
    <t>PREX (Personnel Experience)</t>
  </si>
  <si>
    <t>FCIL (Facilities/Tools)</t>
  </si>
  <si>
    <t>SCED (Schedule)</t>
  </si>
  <si>
    <t>Total Product</t>
  </si>
  <si>
    <t>Kloc</t>
  </si>
  <si>
    <t>Total Labor Hours</t>
  </si>
  <si>
    <t>Variance</t>
  </si>
  <si>
    <t>Estimated Effort (Person-Month)</t>
  </si>
  <si>
    <t>Actual</t>
  </si>
  <si>
    <t>Estimated</t>
  </si>
  <si>
    <t>Total Degree of Influence</t>
  </si>
  <si>
    <t>Value Adjustment Factor</t>
  </si>
  <si>
    <t>Discount Rate</t>
  </si>
  <si>
    <t>Year</t>
  </si>
  <si>
    <t>Costs</t>
  </si>
  <si>
    <t>Discount Factor</t>
  </si>
  <si>
    <t>Discounted Costs</t>
  </si>
  <si>
    <t>Benefits</t>
  </si>
  <si>
    <t>Discounted Benefits</t>
  </si>
  <si>
    <t>Cumulative Benefits - Costs</t>
  </si>
  <si>
    <t>Discounted Benefits - Costs</t>
  </si>
  <si>
    <t>Discounted Lifecycle ROI</t>
  </si>
  <si>
    <t>Assumptions</t>
  </si>
  <si>
    <t>Cost Breakdown</t>
  </si>
  <si>
    <t>Human Labor</t>
  </si>
  <si>
    <t>Materials</t>
  </si>
  <si>
    <t>Total Costs</t>
  </si>
  <si>
    <t>Benefits Breakdown</t>
  </si>
  <si>
    <t>Lounge Passes</t>
  </si>
  <si>
    <t>Food &amp; Beverage</t>
  </si>
  <si>
    <t>Total Benefits</t>
  </si>
  <si>
    <t>On-Going Costs</t>
  </si>
  <si>
    <t>Hosting</t>
  </si>
  <si>
    <t>Domain + SSL</t>
  </si>
  <si>
    <t>Total On-Going</t>
  </si>
  <si>
    <t>Milestone: Project Authorisation</t>
  </si>
  <si>
    <t>Phase: Initialization</t>
  </si>
  <si>
    <t>Phase: Planning</t>
  </si>
  <si>
    <t>Phase: Design</t>
  </si>
  <si>
    <t>Phase: Development</t>
  </si>
  <si>
    <t>Phase: Testing / Q&amp;A</t>
  </si>
  <si>
    <t>Phase: Closing</t>
  </si>
  <si>
    <t>Milestone: Scope Approval</t>
  </si>
  <si>
    <t>Milestone: Design Approval</t>
  </si>
  <si>
    <t>Sprint Setup: Infrastructure</t>
  </si>
  <si>
    <t>Sprint 1: Foundation</t>
  </si>
  <si>
    <t>Sprint 2: Core Logic</t>
  </si>
  <si>
    <t>Sprint 3: Transactional Functions</t>
  </si>
  <si>
    <t>Milestone: Development Complete</t>
  </si>
  <si>
    <t>Milestone: Testing Complete</t>
  </si>
  <si>
    <t>Milestone: Project Complete</t>
  </si>
  <si>
    <t>All</t>
  </si>
  <si>
    <t>Note: Add Actuals once project completed.</t>
  </si>
  <si>
    <t>Hour</t>
  </si>
  <si>
    <t>Each</t>
  </si>
  <si>
    <t>Yearly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</si>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</sst>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4" borderId="0" xfId="0" applyFont="1" applyFill="1"/>
    <xf numFmtId="0" fontId="3" fillId="5" borderId="0" xfId="0" applyFont="1" applyFill="1"/>
    <xf numFmtId="0" fontId="3" fillId="2" borderId="0" xfId="0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0" fillId="2" borderId="1" xfId="0" applyFill="1" applyBorder="1"/>
    <xf numFmtId="8" fontId="0" fillId="0" borderId="0" xfId="0" applyNumberFormat="1"/>
    <xf numFmtId="0" fontId="4" fillId="3" borderId="0" xfId="0" applyFont="1" applyFill="1"/>
    <xf numFmtId="0" fontId="0" fillId="2" borderId="0" xfId="0" applyFill="1" applyAlignment="1">
      <alignment horizontal="right"/>
    </xf>
    <xf numFmtId="8" fontId="0" fillId="2" borderId="0" xfId="0" applyNumberFormat="1" applyFill="1"/>
    <xf numFmtId="8" fontId="0" fillId="5" borderId="0" xfId="0" applyNumberFormat="1" applyFill="1"/>
    <xf numFmtId="9" fontId="0" fillId="0" borderId="0" xfId="2" applyFont="1"/>
    <xf numFmtId="0" fontId="0" fillId="4" borderId="3" xfId="0" applyFill="1" applyBorder="1"/>
    <xf numFmtId="0" fontId="0" fillId="4" borderId="4" xfId="0" applyFill="1" applyBorder="1"/>
    <xf numFmtId="0" fontId="0" fillId="5" borderId="5" xfId="0" applyFill="1" applyBorder="1"/>
    <xf numFmtId="0" fontId="0" fillId="5" borderId="6" xfId="0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2" xfId="0" applyFont="1" applyFill="1" applyBorder="1" applyAlignment="1">
      <alignment horizontal="right"/>
    </xf>
    <xf numFmtId="0" fontId="0" fillId="5" borderId="1" xfId="0" applyFill="1" applyBorder="1"/>
    <xf numFmtId="2" fontId="0" fillId="5" borderId="1" xfId="0" applyNumberFormat="1" applyFill="1" applyBorder="1"/>
    <xf numFmtId="1" fontId="0" fillId="5" borderId="1" xfId="0" applyNumberFormat="1" applyFill="1" applyBorder="1"/>
    <xf numFmtId="9" fontId="0" fillId="5" borderId="1" xfId="2" applyFont="1" applyFill="1" applyBorder="1"/>
    <xf numFmtId="44" fontId="3" fillId="0" borderId="0" xfId="1" applyFont="1"/>
    <xf numFmtId="9" fontId="3" fillId="2" borderId="0" xfId="2" applyFont="1" applyFill="1"/>
    <xf numFmtId="0" fontId="3" fillId="4" borderId="0" xfId="0" applyFont="1" applyFill="1" applyAlignment="1">
      <alignment horizontal="right"/>
    </xf>
    <xf numFmtId="44" fontId="0" fillId="5" borderId="0" xfId="1" applyFont="1" applyFill="1"/>
    <xf numFmtId="2" fontId="0" fillId="5" borderId="0" xfId="0" applyNumberFormat="1" applyFill="1"/>
    <xf numFmtId="44" fontId="0" fillId="5" borderId="0" xfId="0" applyNumberFormat="1" applyFill="1"/>
    <xf numFmtId="44" fontId="0" fillId="5" borderId="7" xfId="0" applyNumberFormat="1" applyFill="1" applyBorder="1"/>
    <xf numFmtId="44" fontId="0" fillId="5" borderId="7" xfId="1" applyFont="1" applyFill="1" applyBorder="1"/>
    <xf numFmtId="44" fontId="3" fillId="5" borderId="7" xfId="0" applyNumberFormat="1" applyFont="1" applyFill="1" applyBorder="1"/>
    <xf numFmtId="9" fontId="3" fillId="2" borderId="7" xfId="2" applyFont="1" applyFill="1" applyBorder="1"/>
    <xf numFmtId="8" fontId="3" fillId="4" borderId="0" xfId="0" applyNumberFormat="1" applyFont="1" applyFill="1"/>
    <xf numFmtId="0" fontId="3" fillId="5" borderId="0" xfId="0" applyFont="1" applyFill="1" applyAlignment="1">
      <alignment horizontal="right"/>
    </xf>
    <xf numFmtId="8" fontId="3" fillId="5" borderId="0" xfId="0" applyNumberFormat="1" applyFont="1" applyFill="1"/>
    <xf numFmtId="0" fontId="2" fillId="7" borderId="0" xfId="0" applyFont="1" applyFill="1"/>
    <xf numFmtId="0" fontId="4" fillId="3" borderId="0" xfId="0" applyFont="1" applyFill="1" applyAlignment="1">
      <alignment horizontal="right"/>
    </xf>
    <xf numFmtId="8" fontId="2" fillId="3" borderId="0" xfId="0" applyNumberFormat="1" applyFont="1" applyFill="1"/>
    <xf numFmtId="0" fontId="5" fillId="5" borderId="0" xfId="0" applyFont="1" applyFill="1" applyAlignment="1">
      <alignment horizontal="right"/>
    </xf>
    <xf numFmtId="0" fontId="5" fillId="5" borderId="0" xfId="0" applyFont="1" applyFill="1"/>
    <xf numFmtId="8" fontId="5" fillId="5" borderId="0" xfId="0" applyNumberFormat="1" applyFont="1" applyFill="1"/>
    <xf numFmtId="44" fontId="3" fillId="2" borderId="2" xfId="1" applyFont="1" applyFill="1" applyBorder="1"/>
    <xf numFmtId="0" fontId="3" fillId="0" borderId="0" xfId="0" applyFont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44" fontId="3" fillId="4" borderId="1" xfId="1" applyFont="1" applyFill="1" applyBorder="1"/>
    <xf numFmtId="44" fontId="3" fillId="5" borderId="1" xfId="1" applyFont="1" applyFill="1" applyBorder="1"/>
    <xf numFmtId="44" fontId="0" fillId="2" borderId="1" xfId="1" applyFont="1" applyFill="1" applyBorder="1"/>
    <xf numFmtId="44" fontId="0" fillId="8" borderId="1" xfId="1" applyFont="1" applyFill="1" applyBorder="1"/>
    <xf numFmtId="0" fontId="0" fillId="8" borderId="1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354C-6DCD-42B0-B8F7-32B58B1ED684}">
  <dimension ref="A1:M76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32.85546875" bestFit="1" customWidth="1"/>
    <col min="2" max="2" width="24.28515625" bestFit="1" customWidth="1"/>
    <col min="3" max="3" width="14.140625" bestFit="1" customWidth="1"/>
    <col min="4" max="4" width="14" bestFit="1" customWidth="1"/>
    <col min="5" max="5" width="13.5703125" bestFit="1" customWidth="1"/>
    <col min="6" max="6" width="11.5703125" bestFit="1" customWidth="1"/>
  </cols>
  <sheetData>
    <row r="1" spans="1:13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252</v>
      </c>
      <c r="G1" s="2" t="s">
        <v>44</v>
      </c>
    </row>
    <row r="2" spans="1:13" x14ac:dyDescent="0.25">
      <c r="A2" s="8" t="s">
        <v>0</v>
      </c>
      <c r="B2" s="8"/>
      <c r="C2" s="8"/>
      <c r="D2" s="8">
        <f>SUM(D3,D11,D22,D30,D49)</f>
        <v>792</v>
      </c>
      <c r="E2" s="56">
        <f>SUM(E3,E11,E22,E30,E49)</f>
        <v>65640</v>
      </c>
    </row>
    <row r="3" spans="1:13" x14ac:dyDescent="0.25">
      <c r="A3" s="9" t="s">
        <v>1</v>
      </c>
      <c r="B3" s="9"/>
      <c r="C3" s="9"/>
      <c r="D3" s="9">
        <f>SUM(D4:D10)</f>
        <v>96</v>
      </c>
      <c r="E3" s="57">
        <f>SUM(E4:E10)</f>
        <v>8160</v>
      </c>
      <c r="F3" s="59">
        <v>85</v>
      </c>
      <c r="G3" s="60" t="s">
        <v>249</v>
      </c>
    </row>
    <row r="4" spans="1:13" x14ac:dyDescent="0.25">
      <c r="A4" s="10" t="s">
        <v>2</v>
      </c>
      <c r="B4" s="10" t="s">
        <v>1</v>
      </c>
      <c r="C4" s="10"/>
      <c r="D4" s="10">
        <v>40</v>
      </c>
      <c r="E4" s="58">
        <v>3400</v>
      </c>
    </row>
    <row r="5" spans="1:13" x14ac:dyDescent="0.25">
      <c r="A5" s="10" t="s">
        <v>3</v>
      </c>
      <c r="B5" s="10" t="s">
        <v>1</v>
      </c>
      <c r="C5" s="10"/>
      <c r="D5" s="10">
        <v>8</v>
      </c>
      <c r="E5" s="58">
        <v>680</v>
      </c>
    </row>
    <row r="6" spans="1:13" x14ac:dyDescent="0.25">
      <c r="A6" s="10" t="s">
        <v>4</v>
      </c>
      <c r="B6" s="10" t="s">
        <v>1</v>
      </c>
      <c r="C6" s="10"/>
      <c r="D6" s="10">
        <v>4</v>
      </c>
      <c r="E6" s="58">
        <v>340</v>
      </c>
    </row>
    <row r="7" spans="1:13" x14ac:dyDescent="0.25">
      <c r="A7" s="10" t="s">
        <v>5</v>
      </c>
      <c r="B7" s="10" t="s">
        <v>1</v>
      </c>
      <c r="C7" s="10"/>
      <c r="D7" s="10">
        <v>24</v>
      </c>
      <c r="E7" s="58">
        <v>2040</v>
      </c>
    </row>
    <row r="8" spans="1:13" x14ac:dyDescent="0.25">
      <c r="A8" s="10" t="s">
        <v>6</v>
      </c>
      <c r="B8" s="10" t="s">
        <v>1</v>
      </c>
      <c r="C8" s="10"/>
      <c r="D8" s="10">
        <v>8</v>
      </c>
      <c r="E8" s="58">
        <v>680</v>
      </c>
      <c r="I8" s="50" t="s">
        <v>248</v>
      </c>
      <c r="J8" s="50"/>
      <c r="K8" s="50"/>
      <c r="L8" s="50"/>
      <c r="M8" s="50"/>
    </row>
    <row r="9" spans="1:13" x14ac:dyDescent="0.25">
      <c r="A9" s="10" t="s">
        <v>7</v>
      </c>
      <c r="B9" s="10" t="s">
        <v>1</v>
      </c>
      <c r="C9" s="10"/>
      <c r="D9" s="10">
        <v>4</v>
      </c>
      <c r="E9" s="58">
        <v>340</v>
      </c>
      <c r="I9" s="50"/>
      <c r="J9" s="50"/>
      <c r="K9" s="50"/>
      <c r="L9" s="50"/>
      <c r="M9" s="50"/>
    </row>
    <row r="10" spans="1:13" x14ac:dyDescent="0.25">
      <c r="A10" s="10" t="s">
        <v>8</v>
      </c>
      <c r="B10" s="10" t="s">
        <v>1</v>
      </c>
      <c r="C10" s="10"/>
      <c r="D10" s="10">
        <v>8</v>
      </c>
      <c r="E10" s="58">
        <v>680</v>
      </c>
      <c r="I10" s="50"/>
      <c r="J10" s="50"/>
      <c r="K10" s="50"/>
      <c r="L10" s="50"/>
      <c r="M10" s="50"/>
    </row>
    <row r="11" spans="1:13" x14ac:dyDescent="0.25">
      <c r="A11" s="9" t="s">
        <v>9</v>
      </c>
      <c r="B11" s="9"/>
      <c r="C11" s="9"/>
      <c r="D11" s="9">
        <f>SUM(D12:D21)</f>
        <v>152</v>
      </c>
      <c r="E11" s="57">
        <f>SUM(E12:E21)</f>
        <v>11400</v>
      </c>
      <c r="F11" s="59">
        <v>75</v>
      </c>
      <c r="G11" s="60" t="s">
        <v>249</v>
      </c>
    </row>
    <row r="12" spans="1:13" x14ac:dyDescent="0.25">
      <c r="A12" s="10" t="s">
        <v>10</v>
      </c>
      <c r="B12" s="10" t="s">
        <v>9</v>
      </c>
      <c r="C12" s="10"/>
      <c r="D12" s="10">
        <v>40</v>
      </c>
      <c r="E12" s="58">
        <v>3000</v>
      </c>
    </row>
    <row r="13" spans="1:13" x14ac:dyDescent="0.25">
      <c r="A13" s="10" t="s">
        <v>11</v>
      </c>
      <c r="B13" s="10" t="s">
        <v>9</v>
      </c>
      <c r="C13" s="10"/>
      <c r="D13" s="10">
        <v>16</v>
      </c>
      <c r="E13" s="58">
        <v>1200</v>
      </c>
    </row>
    <row r="14" spans="1:13" x14ac:dyDescent="0.25">
      <c r="A14" s="10" t="s">
        <v>12</v>
      </c>
      <c r="B14" s="10" t="s">
        <v>9</v>
      </c>
      <c r="C14" s="10"/>
      <c r="D14" s="10">
        <v>16</v>
      </c>
      <c r="E14" s="58">
        <v>1200</v>
      </c>
    </row>
    <row r="15" spans="1:13" x14ac:dyDescent="0.25">
      <c r="A15" s="10" t="s">
        <v>2</v>
      </c>
      <c r="B15" s="10" t="s">
        <v>9</v>
      </c>
      <c r="C15" s="10"/>
      <c r="D15" s="10">
        <v>20</v>
      </c>
      <c r="E15" s="58">
        <v>1500</v>
      </c>
    </row>
    <row r="16" spans="1:13" x14ac:dyDescent="0.25">
      <c r="A16" s="10" t="s">
        <v>4</v>
      </c>
      <c r="B16" s="10" t="s">
        <v>9</v>
      </c>
      <c r="C16" s="10"/>
      <c r="D16" s="10">
        <v>8</v>
      </c>
      <c r="E16" s="58">
        <v>600</v>
      </c>
    </row>
    <row r="17" spans="1:7" x14ac:dyDescent="0.25">
      <c r="A17" s="10" t="s">
        <v>3</v>
      </c>
      <c r="B17" s="10" t="s">
        <v>9</v>
      </c>
      <c r="C17" s="10"/>
      <c r="D17" s="10">
        <v>8</v>
      </c>
      <c r="E17" s="58">
        <v>600</v>
      </c>
    </row>
    <row r="18" spans="1:7" x14ac:dyDescent="0.25">
      <c r="A18" s="10" t="s">
        <v>13</v>
      </c>
      <c r="B18" s="10" t="s">
        <v>9</v>
      </c>
      <c r="C18" s="10"/>
      <c r="D18" s="10">
        <v>8</v>
      </c>
      <c r="E18" s="58">
        <v>600</v>
      </c>
    </row>
    <row r="19" spans="1:7" x14ac:dyDescent="0.25">
      <c r="A19" s="10" t="s">
        <v>14</v>
      </c>
      <c r="B19" s="10" t="s">
        <v>9</v>
      </c>
      <c r="C19" s="10"/>
      <c r="D19" s="10">
        <v>20</v>
      </c>
      <c r="E19" s="58">
        <v>1500</v>
      </c>
    </row>
    <row r="20" spans="1:7" x14ac:dyDescent="0.25">
      <c r="A20" s="10" t="s">
        <v>15</v>
      </c>
      <c r="B20" s="10" t="s">
        <v>9</v>
      </c>
      <c r="C20" s="10"/>
      <c r="D20" s="10">
        <v>8</v>
      </c>
      <c r="E20" s="58">
        <v>600</v>
      </c>
    </row>
    <row r="21" spans="1:7" x14ac:dyDescent="0.25">
      <c r="A21" s="10" t="s">
        <v>8</v>
      </c>
      <c r="B21" s="10" t="s">
        <v>9</v>
      </c>
      <c r="C21" s="10"/>
      <c r="D21" s="10">
        <v>8</v>
      </c>
      <c r="E21" s="58">
        <v>600</v>
      </c>
    </row>
    <row r="22" spans="1:7" x14ac:dyDescent="0.25">
      <c r="A22" s="9" t="s">
        <v>16</v>
      </c>
      <c r="B22" s="9"/>
      <c r="C22" s="9"/>
      <c r="D22" s="9">
        <f>SUM(D23:D29)</f>
        <v>160</v>
      </c>
      <c r="E22" s="57">
        <f>SUM(E23:E29)</f>
        <v>12000</v>
      </c>
      <c r="F22" s="59">
        <v>75</v>
      </c>
      <c r="G22" s="60" t="s">
        <v>249</v>
      </c>
    </row>
    <row r="23" spans="1:7" x14ac:dyDescent="0.25">
      <c r="A23" s="10" t="s">
        <v>17</v>
      </c>
      <c r="B23" s="10" t="s">
        <v>16</v>
      </c>
      <c r="C23" s="10"/>
      <c r="D23" s="10">
        <v>80</v>
      </c>
      <c r="E23" s="58">
        <v>6000</v>
      </c>
    </row>
    <row r="24" spans="1:7" x14ac:dyDescent="0.25">
      <c r="A24" s="10" t="s">
        <v>18</v>
      </c>
      <c r="B24" s="10" t="s">
        <v>16</v>
      </c>
      <c r="C24" s="10"/>
      <c r="D24" s="10">
        <v>16</v>
      </c>
      <c r="E24" s="58">
        <v>1200</v>
      </c>
    </row>
    <row r="25" spans="1:7" x14ac:dyDescent="0.25">
      <c r="A25" s="10" t="s">
        <v>19</v>
      </c>
      <c r="B25" s="10" t="s">
        <v>16</v>
      </c>
      <c r="C25" s="10"/>
      <c r="D25" s="10">
        <v>16</v>
      </c>
      <c r="E25" s="58">
        <v>1200</v>
      </c>
    </row>
    <row r="26" spans="1:7" x14ac:dyDescent="0.25">
      <c r="A26" s="10" t="s">
        <v>3</v>
      </c>
      <c r="B26" s="10" t="s">
        <v>16</v>
      </c>
      <c r="C26" s="10"/>
      <c r="D26" s="10">
        <v>8</v>
      </c>
      <c r="E26" s="58">
        <v>600</v>
      </c>
    </row>
    <row r="27" spans="1:7" x14ac:dyDescent="0.25">
      <c r="A27" s="10" t="s">
        <v>15</v>
      </c>
      <c r="B27" s="10" t="s">
        <v>16</v>
      </c>
      <c r="C27" s="10"/>
      <c r="D27" s="10">
        <v>8</v>
      </c>
      <c r="E27" s="58">
        <v>600</v>
      </c>
    </row>
    <row r="28" spans="1:7" x14ac:dyDescent="0.25">
      <c r="A28" s="10" t="s">
        <v>4</v>
      </c>
      <c r="B28" s="10" t="s">
        <v>16</v>
      </c>
      <c r="C28" s="10"/>
      <c r="D28" s="10">
        <v>8</v>
      </c>
      <c r="E28" s="58">
        <v>600</v>
      </c>
    </row>
    <row r="29" spans="1:7" x14ac:dyDescent="0.25">
      <c r="A29" s="10" t="s">
        <v>20</v>
      </c>
      <c r="B29" s="10" t="s">
        <v>16</v>
      </c>
      <c r="C29" s="10"/>
      <c r="D29" s="10">
        <v>24</v>
      </c>
      <c r="E29" s="58">
        <v>1800</v>
      </c>
    </row>
    <row r="30" spans="1:7" x14ac:dyDescent="0.25">
      <c r="A30" s="9" t="s">
        <v>21</v>
      </c>
      <c r="B30" s="9"/>
      <c r="C30" s="9"/>
      <c r="D30" s="9">
        <f>SUM(D31:D48)</f>
        <v>304</v>
      </c>
      <c r="E30" s="57">
        <f>SUM(E31:E48)</f>
        <v>28880</v>
      </c>
      <c r="F30" s="59">
        <v>95</v>
      </c>
      <c r="G30" s="60" t="s">
        <v>249</v>
      </c>
    </row>
    <row r="31" spans="1:7" x14ac:dyDescent="0.25">
      <c r="A31" s="10" t="s">
        <v>19</v>
      </c>
      <c r="B31" s="10" t="s">
        <v>21</v>
      </c>
      <c r="C31" s="10"/>
      <c r="D31" s="10">
        <v>16</v>
      </c>
      <c r="E31" s="58">
        <v>1520</v>
      </c>
    </row>
    <row r="32" spans="1:7" x14ac:dyDescent="0.25">
      <c r="A32" s="10" t="s">
        <v>22</v>
      </c>
      <c r="B32" s="10" t="s">
        <v>21</v>
      </c>
      <c r="C32" s="10"/>
      <c r="D32" s="10">
        <v>16</v>
      </c>
      <c r="E32" s="58">
        <v>1520</v>
      </c>
    </row>
    <row r="33" spans="1:5" x14ac:dyDescent="0.25">
      <c r="A33" s="10" t="s">
        <v>23</v>
      </c>
      <c r="B33" s="10" t="s">
        <v>21</v>
      </c>
      <c r="C33" s="10"/>
      <c r="D33" s="10">
        <v>8</v>
      </c>
      <c r="E33" s="58">
        <v>760</v>
      </c>
    </row>
    <row r="34" spans="1:5" x14ac:dyDescent="0.25">
      <c r="A34" s="10" t="s">
        <v>24</v>
      </c>
      <c r="B34" s="10" t="s">
        <v>21</v>
      </c>
      <c r="C34" s="10"/>
      <c r="D34" s="10">
        <v>16</v>
      </c>
      <c r="E34" s="58">
        <v>1520</v>
      </c>
    </row>
    <row r="35" spans="1:5" x14ac:dyDescent="0.25">
      <c r="A35" s="10" t="s">
        <v>12</v>
      </c>
      <c r="B35" s="10" t="s">
        <v>21</v>
      </c>
      <c r="C35" s="10"/>
      <c r="D35" s="10">
        <v>16</v>
      </c>
      <c r="E35" s="58">
        <v>1520</v>
      </c>
    </row>
    <row r="36" spans="1:5" x14ac:dyDescent="0.25">
      <c r="A36" s="10" t="s">
        <v>18</v>
      </c>
      <c r="B36" s="10" t="s">
        <v>21</v>
      </c>
      <c r="C36" s="10"/>
      <c r="D36" s="10">
        <v>16</v>
      </c>
      <c r="E36" s="58">
        <v>1520</v>
      </c>
    </row>
    <row r="37" spans="1:5" x14ac:dyDescent="0.25">
      <c r="A37" s="10" t="s">
        <v>11</v>
      </c>
      <c r="B37" s="10" t="s">
        <v>21</v>
      </c>
      <c r="C37" s="10"/>
      <c r="D37" s="10">
        <v>16</v>
      </c>
      <c r="E37" s="58">
        <v>1520</v>
      </c>
    </row>
    <row r="38" spans="1:5" x14ac:dyDescent="0.25">
      <c r="A38" s="10" t="s">
        <v>20</v>
      </c>
      <c r="B38" s="10" t="s">
        <v>21</v>
      </c>
      <c r="C38" s="10"/>
      <c r="D38" s="10">
        <v>24</v>
      </c>
      <c r="E38" s="58">
        <v>2280</v>
      </c>
    </row>
    <row r="39" spans="1:5" x14ac:dyDescent="0.25">
      <c r="A39" s="10" t="s">
        <v>25</v>
      </c>
      <c r="B39" s="10" t="s">
        <v>21</v>
      </c>
      <c r="C39" s="10"/>
      <c r="D39" s="10">
        <v>16</v>
      </c>
      <c r="E39" s="58">
        <v>1520</v>
      </c>
    </row>
    <row r="40" spans="1:5" x14ac:dyDescent="0.25">
      <c r="A40" s="10" t="s">
        <v>13</v>
      </c>
      <c r="B40" s="10" t="s">
        <v>21</v>
      </c>
      <c r="C40" s="10"/>
      <c r="D40" s="10">
        <v>8</v>
      </c>
      <c r="E40" s="58">
        <v>760</v>
      </c>
    </row>
    <row r="41" spans="1:5" x14ac:dyDescent="0.25">
      <c r="A41" s="10" t="s">
        <v>26</v>
      </c>
      <c r="B41" s="10" t="s">
        <v>21</v>
      </c>
      <c r="C41" s="10"/>
      <c r="D41" s="10">
        <v>40</v>
      </c>
      <c r="E41" s="58">
        <v>3800</v>
      </c>
    </row>
    <row r="42" spans="1:5" x14ac:dyDescent="0.25">
      <c r="A42" s="10" t="s">
        <v>6</v>
      </c>
      <c r="B42" s="10" t="s">
        <v>21</v>
      </c>
      <c r="C42" s="10"/>
      <c r="D42" s="10">
        <v>8</v>
      </c>
      <c r="E42" s="58">
        <v>760</v>
      </c>
    </row>
    <row r="43" spans="1:5" x14ac:dyDescent="0.25">
      <c r="A43" s="10" t="s">
        <v>4</v>
      </c>
      <c r="B43" s="10" t="s">
        <v>21</v>
      </c>
      <c r="C43" s="10"/>
      <c r="D43" s="10">
        <v>8</v>
      </c>
      <c r="E43" s="58">
        <v>760</v>
      </c>
    </row>
    <row r="44" spans="1:5" x14ac:dyDescent="0.25">
      <c r="A44" s="10" t="s">
        <v>27</v>
      </c>
      <c r="B44" s="10" t="s">
        <v>21</v>
      </c>
      <c r="C44" s="10"/>
      <c r="D44" s="10">
        <v>8</v>
      </c>
      <c r="E44" s="58">
        <v>760</v>
      </c>
    </row>
    <row r="45" spans="1:5" x14ac:dyDescent="0.25">
      <c r="A45" s="10" t="s">
        <v>28</v>
      </c>
      <c r="B45" s="10" t="s">
        <v>21</v>
      </c>
      <c r="C45" s="10"/>
      <c r="D45" s="10">
        <v>40</v>
      </c>
      <c r="E45" s="58">
        <v>3800</v>
      </c>
    </row>
    <row r="46" spans="1:5" x14ac:dyDescent="0.25">
      <c r="A46" s="10" t="s">
        <v>29</v>
      </c>
      <c r="B46" s="10" t="s">
        <v>21</v>
      </c>
      <c r="C46" s="10"/>
      <c r="D46" s="10">
        <v>24</v>
      </c>
      <c r="E46" s="58">
        <v>2280</v>
      </c>
    </row>
    <row r="47" spans="1:5" x14ac:dyDescent="0.25">
      <c r="A47" s="10" t="s">
        <v>3</v>
      </c>
      <c r="B47" s="10" t="s">
        <v>21</v>
      </c>
      <c r="C47" s="10"/>
      <c r="D47" s="10">
        <v>8</v>
      </c>
      <c r="E47" s="58">
        <v>760</v>
      </c>
    </row>
    <row r="48" spans="1:5" x14ac:dyDescent="0.25">
      <c r="A48" s="10" t="s">
        <v>30</v>
      </c>
      <c r="B48" s="10" t="s">
        <v>21</v>
      </c>
      <c r="C48" s="10"/>
      <c r="D48" s="10">
        <v>16</v>
      </c>
      <c r="E48" s="58">
        <v>1520</v>
      </c>
    </row>
    <row r="49" spans="1:7" x14ac:dyDescent="0.25">
      <c r="A49" s="9" t="s">
        <v>31</v>
      </c>
      <c r="B49" s="9"/>
      <c r="C49" s="9"/>
      <c r="D49" s="9">
        <f>SUM(D50:D55)</f>
        <v>80</v>
      </c>
      <c r="E49" s="57">
        <f>SUM(E50:E55)</f>
        <v>5200</v>
      </c>
      <c r="F49" s="59">
        <v>65</v>
      </c>
      <c r="G49" s="60" t="s">
        <v>249</v>
      </c>
    </row>
    <row r="50" spans="1:7" x14ac:dyDescent="0.25">
      <c r="A50" s="10" t="s">
        <v>3</v>
      </c>
      <c r="B50" s="10" t="s">
        <v>31</v>
      </c>
      <c r="C50" s="10"/>
      <c r="D50" s="10">
        <v>8</v>
      </c>
      <c r="E50" s="58">
        <v>520</v>
      </c>
    </row>
    <row r="51" spans="1:7" x14ac:dyDescent="0.25">
      <c r="A51" s="10" t="s">
        <v>6</v>
      </c>
      <c r="B51" s="10" t="s">
        <v>31</v>
      </c>
      <c r="C51" s="10"/>
      <c r="D51" s="10">
        <v>8</v>
      </c>
      <c r="E51" s="58">
        <v>520</v>
      </c>
    </row>
    <row r="52" spans="1:7" x14ac:dyDescent="0.25">
      <c r="A52" s="10" t="s">
        <v>32</v>
      </c>
      <c r="B52" s="10" t="s">
        <v>31</v>
      </c>
      <c r="C52" s="10"/>
      <c r="D52" s="10">
        <v>40</v>
      </c>
      <c r="E52" s="58">
        <v>2600</v>
      </c>
    </row>
    <row r="53" spans="1:7" x14ac:dyDescent="0.25">
      <c r="A53" s="10" t="s">
        <v>24</v>
      </c>
      <c r="B53" s="10" t="s">
        <v>31</v>
      </c>
      <c r="C53" s="10"/>
      <c r="D53" s="10">
        <v>16</v>
      </c>
      <c r="E53" s="58">
        <v>1040</v>
      </c>
    </row>
    <row r="54" spans="1:7" x14ac:dyDescent="0.25">
      <c r="A54" s="10" t="s">
        <v>7</v>
      </c>
      <c r="B54" s="10" t="s">
        <v>31</v>
      </c>
      <c r="C54" s="10"/>
      <c r="D54" s="10">
        <v>4</v>
      </c>
      <c r="E54" s="58">
        <v>260</v>
      </c>
    </row>
    <row r="55" spans="1:7" x14ac:dyDescent="0.25">
      <c r="A55" s="10" t="s">
        <v>4</v>
      </c>
      <c r="B55" s="10" t="s">
        <v>31</v>
      </c>
      <c r="C55" s="10"/>
      <c r="D55" s="10">
        <v>4</v>
      </c>
      <c r="E55" s="58">
        <v>260</v>
      </c>
    </row>
    <row r="56" spans="1:7" x14ac:dyDescent="0.25">
      <c r="A56" s="8" t="s">
        <v>33</v>
      </c>
      <c r="B56" s="8"/>
      <c r="C56" s="8"/>
      <c r="D56" s="8">
        <v>0</v>
      </c>
      <c r="E56" s="56">
        <f>SUM(E73,E71,E69,E67,E65,E63,E61,E59,E57)</f>
        <v>104700</v>
      </c>
    </row>
    <row r="57" spans="1:7" x14ac:dyDescent="0.25">
      <c r="A57" s="9" t="s">
        <v>23</v>
      </c>
      <c r="B57" s="9"/>
      <c r="C57" s="9"/>
      <c r="D57" s="9">
        <v>0</v>
      </c>
      <c r="E57" s="57">
        <f>SUM(E58)</f>
        <v>20000</v>
      </c>
      <c r="F57" s="59">
        <v>20000</v>
      </c>
      <c r="G57" s="60" t="s">
        <v>250</v>
      </c>
    </row>
    <row r="58" spans="1:7" x14ac:dyDescent="0.25">
      <c r="A58" s="10" t="s">
        <v>23</v>
      </c>
      <c r="B58" s="10" t="s">
        <v>23</v>
      </c>
      <c r="C58" s="10">
        <v>1</v>
      </c>
      <c r="D58" s="10">
        <v>0</v>
      </c>
      <c r="E58" s="58">
        <v>20000</v>
      </c>
    </row>
    <row r="59" spans="1:7" x14ac:dyDescent="0.25">
      <c r="A59" s="9" t="s">
        <v>34</v>
      </c>
      <c r="B59" s="9"/>
      <c r="C59" s="9"/>
      <c r="D59" s="9">
        <v>0</v>
      </c>
      <c r="E59" s="57">
        <f>SUM(E60)</f>
        <v>15000</v>
      </c>
      <c r="F59" s="59">
        <v>15000</v>
      </c>
      <c r="G59" s="60" t="s">
        <v>251</v>
      </c>
    </row>
    <row r="60" spans="1:7" x14ac:dyDescent="0.25">
      <c r="A60" s="10" t="s">
        <v>6</v>
      </c>
      <c r="B60" s="10" t="s">
        <v>34</v>
      </c>
      <c r="C60" s="10">
        <v>1</v>
      </c>
      <c r="D60" s="10">
        <v>0</v>
      </c>
      <c r="E60" s="58">
        <v>15000</v>
      </c>
    </row>
    <row r="61" spans="1:7" x14ac:dyDescent="0.25">
      <c r="A61" s="9" t="s">
        <v>35</v>
      </c>
      <c r="B61" s="9"/>
      <c r="C61" s="9"/>
      <c r="D61" s="9">
        <v>0</v>
      </c>
      <c r="E61" s="57">
        <f>SUM(E62)</f>
        <v>500</v>
      </c>
      <c r="F61" s="59">
        <v>500</v>
      </c>
      <c r="G61" s="60" t="s">
        <v>251</v>
      </c>
    </row>
    <row r="62" spans="1:7" x14ac:dyDescent="0.25">
      <c r="A62" s="10" t="s">
        <v>6</v>
      </c>
      <c r="B62" s="10" t="s">
        <v>35</v>
      </c>
      <c r="C62" s="10">
        <v>1</v>
      </c>
      <c r="D62" s="10">
        <v>0</v>
      </c>
      <c r="E62" s="58">
        <v>500</v>
      </c>
    </row>
    <row r="63" spans="1:7" x14ac:dyDescent="0.25">
      <c r="A63" s="9" t="s">
        <v>36</v>
      </c>
      <c r="B63" s="9"/>
      <c r="C63" s="9"/>
      <c r="D63" s="9">
        <v>0</v>
      </c>
      <c r="E63" s="57">
        <f>SUM(E64)</f>
        <v>12000</v>
      </c>
      <c r="F63" s="59">
        <v>12000</v>
      </c>
      <c r="G63" s="60" t="s">
        <v>250</v>
      </c>
    </row>
    <row r="64" spans="1:7" x14ac:dyDescent="0.25">
      <c r="A64" s="10" t="s">
        <v>23</v>
      </c>
      <c r="B64" s="10" t="s">
        <v>36</v>
      </c>
      <c r="C64" s="10">
        <v>1</v>
      </c>
      <c r="D64" s="10">
        <v>0</v>
      </c>
      <c r="E64" s="58">
        <v>12000</v>
      </c>
    </row>
    <row r="65" spans="1:7" x14ac:dyDescent="0.25">
      <c r="A65" s="9" t="s">
        <v>37</v>
      </c>
      <c r="B65" s="9"/>
      <c r="C65" s="9"/>
      <c r="D65" s="9">
        <v>0</v>
      </c>
      <c r="E65" s="57">
        <f>SUM(E66)</f>
        <v>3200</v>
      </c>
      <c r="F65" s="59">
        <v>800</v>
      </c>
      <c r="G65" s="60" t="s">
        <v>250</v>
      </c>
    </row>
    <row r="66" spans="1:7" x14ac:dyDescent="0.25">
      <c r="A66" s="10" t="s">
        <v>6</v>
      </c>
      <c r="B66" s="10" t="s">
        <v>37</v>
      </c>
      <c r="C66" s="10">
        <v>4</v>
      </c>
      <c r="D66" s="10">
        <v>0</v>
      </c>
      <c r="E66" s="58">
        <v>3200</v>
      </c>
    </row>
    <row r="67" spans="1:7" x14ac:dyDescent="0.25">
      <c r="A67" s="9" t="s">
        <v>38</v>
      </c>
      <c r="B67" s="9"/>
      <c r="C67" s="9"/>
      <c r="D67" s="9">
        <v>0</v>
      </c>
      <c r="E67" s="57">
        <f>SUM(E68)</f>
        <v>24000</v>
      </c>
      <c r="F67" s="59">
        <v>6000</v>
      </c>
      <c r="G67" s="60" t="s">
        <v>250</v>
      </c>
    </row>
    <row r="68" spans="1:7" x14ac:dyDescent="0.25">
      <c r="A68" s="10" t="s">
        <v>6</v>
      </c>
      <c r="B68" s="10" t="s">
        <v>38</v>
      </c>
      <c r="C68" s="10">
        <v>4</v>
      </c>
      <c r="D68" s="10">
        <v>0</v>
      </c>
      <c r="E68" s="58">
        <v>24000</v>
      </c>
    </row>
    <row r="69" spans="1:7" x14ac:dyDescent="0.25">
      <c r="A69" s="9" t="s">
        <v>39</v>
      </c>
      <c r="B69" s="9"/>
      <c r="C69" s="9"/>
      <c r="D69" s="9">
        <v>0</v>
      </c>
      <c r="E69" s="57">
        <f>SUM(E70)</f>
        <v>10000</v>
      </c>
      <c r="F69" s="59">
        <v>10000</v>
      </c>
      <c r="G69" s="60" t="s">
        <v>250</v>
      </c>
    </row>
    <row r="70" spans="1:7" x14ac:dyDescent="0.25">
      <c r="A70" s="10" t="s">
        <v>5</v>
      </c>
      <c r="B70" s="10" t="s">
        <v>39</v>
      </c>
      <c r="C70" s="10">
        <v>1</v>
      </c>
      <c r="D70" s="10">
        <v>0</v>
      </c>
      <c r="E70" s="58">
        <v>10000</v>
      </c>
    </row>
    <row r="71" spans="1:7" x14ac:dyDescent="0.25">
      <c r="A71" s="9" t="s">
        <v>40</v>
      </c>
      <c r="B71" s="9"/>
      <c r="C71" s="9"/>
      <c r="D71" s="9">
        <v>0</v>
      </c>
      <c r="E71" s="57">
        <f>SUM(E72)</f>
        <v>15000</v>
      </c>
      <c r="F71" s="59">
        <v>15000</v>
      </c>
      <c r="G71" s="60" t="s">
        <v>250</v>
      </c>
    </row>
    <row r="72" spans="1:7" x14ac:dyDescent="0.25">
      <c r="A72" s="10" t="s">
        <v>24</v>
      </c>
      <c r="B72" s="10" t="s">
        <v>40</v>
      </c>
      <c r="C72" s="10">
        <v>1</v>
      </c>
      <c r="D72" s="10">
        <v>0</v>
      </c>
      <c r="E72" s="58">
        <v>15000</v>
      </c>
    </row>
    <row r="73" spans="1:7" x14ac:dyDescent="0.25">
      <c r="A73" s="9" t="s">
        <v>41</v>
      </c>
      <c r="B73" s="9"/>
      <c r="C73" s="9"/>
      <c r="D73" s="9">
        <v>0</v>
      </c>
      <c r="E73" s="57">
        <f>SUM(E74)</f>
        <v>5000</v>
      </c>
      <c r="F73" s="59">
        <v>5000</v>
      </c>
      <c r="G73" s="60" t="s">
        <v>250</v>
      </c>
    </row>
    <row r="74" spans="1:7" x14ac:dyDescent="0.25">
      <c r="A74" s="10" t="s">
        <v>6</v>
      </c>
      <c r="B74" s="10" t="s">
        <v>41</v>
      </c>
      <c r="C74" s="10">
        <v>1</v>
      </c>
      <c r="D74" s="10">
        <v>0</v>
      </c>
      <c r="E74" s="58">
        <v>5000</v>
      </c>
    </row>
    <row r="76" spans="1:7" x14ac:dyDescent="0.25">
      <c r="A76" s="49" t="s">
        <v>159</v>
      </c>
      <c r="B76" s="49"/>
      <c r="C76" s="49"/>
      <c r="D76" s="49"/>
      <c r="E76" s="29">
        <f>SUM(E2,E56)</f>
        <v>170340</v>
      </c>
    </row>
  </sheetData>
  <mergeCells count="2">
    <mergeCell ref="A76:D76"/>
    <mergeCell ref="I8:M10"/>
  </mergeCells>
  <pageMargins left="0.7" right="0.7" top="0.75" bottom="0.75" header="0.3" footer="0.3"/>
  <pageSetup paperSize="9" orientation="portrait" r:id="rId1"/>
  <ignoredErrors>
    <ignoredError sqref="D4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CC69-F528-466B-B506-39731D7A396E}">
  <dimension ref="A1:H47"/>
  <sheetViews>
    <sheetView workbookViewId="0">
      <selection activeCell="G19" sqref="G19"/>
    </sheetView>
  </sheetViews>
  <sheetFormatPr defaultRowHeight="15" x14ac:dyDescent="0.25"/>
  <cols>
    <col min="1" max="1" width="9.7109375" bestFit="1" customWidth="1"/>
    <col min="2" max="2" width="38.42578125" bestFit="1" customWidth="1"/>
    <col min="3" max="3" width="66.7109375" bestFit="1" customWidth="1"/>
    <col min="4" max="4" width="37.28515625" bestFit="1" customWidth="1"/>
    <col min="5" max="5" width="34" bestFit="1" customWidth="1"/>
    <col min="6" max="6" width="11.140625" bestFit="1" customWidth="1"/>
    <col min="7" max="7" width="12.5703125" bestFit="1" customWidth="1"/>
    <col min="8" max="8" width="69.7109375" bestFit="1" customWidth="1"/>
  </cols>
  <sheetData>
    <row r="1" spans="1:8" x14ac:dyDescent="0.25">
      <c r="A1" s="42" t="s">
        <v>103</v>
      </c>
      <c r="B1" s="42" t="s">
        <v>47</v>
      </c>
      <c r="C1" s="42" t="s">
        <v>48</v>
      </c>
      <c r="D1" s="42" t="s">
        <v>104</v>
      </c>
      <c r="E1" s="42" t="s">
        <v>105</v>
      </c>
      <c r="F1" s="42" t="s">
        <v>49</v>
      </c>
      <c r="G1" s="42" t="s">
        <v>50</v>
      </c>
      <c r="H1" s="42" t="s">
        <v>51</v>
      </c>
    </row>
    <row r="2" spans="1:8" x14ac:dyDescent="0.25">
      <c r="A2" s="43"/>
      <c r="B2" s="2" t="s">
        <v>52</v>
      </c>
      <c r="C2" s="2" t="s">
        <v>53</v>
      </c>
      <c r="D2" s="2" t="s">
        <v>54</v>
      </c>
      <c r="E2" s="2" t="s">
        <v>54</v>
      </c>
      <c r="F2" s="2">
        <f>SUM(F3,F9,F15,F20,F36,F41)</f>
        <v>792</v>
      </c>
      <c r="G2" s="44">
        <f>SUM(G3,G9,G15,G20,G36,G41)</f>
        <v>170340</v>
      </c>
      <c r="H2" s="2" t="s">
        <v>55</v>
      </c>
    </row>
    <row r="3" spans="1:8" x14ac:dyDescent="0.25">
      <c r="A3" s="31">
        <v>1</v>
      </c>
      <c r="B3" s="5" t="s">
        <v>232</v>
      </c>
      <c r="C3" s="5" t="s">
        <v>56</v>
      </c>
      <c r="D3" s="5" t="s">
        <v>54</v>
      </c>
      <c r="E3" s="5" t="s">
        <v>54</v>
      </c>
      <c r="F3" s="5">
        <f>SUM(F4:F7)</f>
        <v>80</v>
      </c>
      <c r="G3" s="39">
        <f>SUM(G4:G7)</f>
        <v>16480</v>
      </c>
      <c r="H3" s="5" t="s">
        <v>57</v>
      </c>
    </row>
    <row r="4" spans="1:8" x14ac:dyDescent="0.25">
      <c r="A4" s="13">
        <v>1.1000000000000001</v>
      </c>
      <c r="B4" s="1" t="s">
        <v>4</v>
      </c>
      <c r="C4" s="1" t="s">
        <v>106</v>
      </c>
      <c r="D4" s="1" t="s">
        <v>247</v>
      </c>
      <c r="E4" s="1" t="s">
        <v>54</v>
      </c>
      <c r="F4" s="1">
        <v>32</v>
      </c>
      <c r="G4" s="14">
        <v>2560</v>
      </c>
      <c r="H4" s="1" t="s">
        <v>58</v>
      </c>
    </row>
    <row r="5" spans="1:8" x14ac:dyDescent="0.25">
      <c r="A5" s="13">
        <v>1.2</v>
      </c>
      <c r="B5" s="1" t="s">
        <v>7</v>
      </c>
      <c r="C5" s="1" t="s">
        <v>108</v>
      </c>
      <c r="D5" s="1" t="s">
        <v>109</v>
      </c>
      <c r="E5" s="1" t="s">
        <v>54</v>
      </c>
      <c r="F5" s="1">
        <v>8</v>
      </c>
      <c r="G5" s="14">
        <v>600</v>
      </c>
      <c r="H5" s="1" t="s">
        <v>59</v>
      </c>
    </row>
    <row r="6" spans="1:8" x14ac:dyDescent="0.25">
      <c r="A6" s="13">
        <v>1.3</v>
      </c>
      <c r="B6" s="1" t="s">
        <v>8</v>
      </c>
      <c r="C6" s="1" t="s">
        <v>110</v>
      </c>
      <c r="D6" s="1" t="s">
        <v>111</v>
      </c>
      <c r="E6" s="1" t="s">
        <v>54</v>
      </c>
      <c r="F6" s="1">
        <v>16</v>
      </c>
      <c r="G6" s="14">
        <v>1280</v>
      </c>
      <c r="H6" s="1" t="s">
        <v>60</v>
      </c>
    </row>
    <row r="7" spans="1:8" x14ac:dyDescent="0.25">
      <c r="A7" s="13">
        <v>1.4</v>
      </c>
      <c r="B7" s="1" t="s">
        <v>61</v>
      </c>
      <c r="C7" s="1" t="s">
        <v>112</v>
      </c>
      <c r="D7" s="1" t="s">
        <v>1</v>
      </c>
      <c r="E7" s="1" t="s">
        <v>39</v>
      </c>
      <c r="F7" s="1">
        <v>24</v>
      </c>
      <c r="G7" s="14">
        <v>12040</v>
      </c>
      <c r="H7" s="1" t="s">
        <v>62</v>
      </c>
    </row>
    <row r="8" spans="1:8" x14ac:dyDescent="0.25">
      <c r="A8" s="40">
        <v>1.5</v>
      </c>
      <c r="B8" s="6" t="s">
        <v>231</v>
      </c>
      <c r="C8" s="6"/>
      <c r="D8" s="6"/>
      <c r="E8" s="6"/>
      <c r="F8" s="6"/>
      <c r="G8" s="41"/>
      <c r="H8" s="6"/>
    </row>
    <row r="9" spans="1:8" x14ac:dyDescent="0.25">
      <c r="A9" s="31">
        <v>2</v>
      </c>
      <c r="B9" s="5" t="s">
        <v>233</v>
      </c>
      <c r="C9" s="5" t="s">
        <v>113</v>
      </c>
      <c r="D9" s="5" t="s">
        <v>54</v>
      </c>
      <c r="E9" s="5" t="s">
        <v>54</v>
      </c>
      <c r="F9" s="5">
        <f>SUM(F10:F13)</f>
        <v>160</v>
      </c>
      <c r="G9" s="39">
        <f>SUM(G10:G13)</f>
        <v>12000</v>
      </c>
      <c r="H9" s="5" t="s">
        <v>63</v>
      </c>
    </row>
    <row r="10" spans="1:8" x14ac:dyDescent="0.25">
      <c r="A10" s="13">
        <v>2.1</v>
      </c>
      <c r="B10" s="1" t="s">
        <v>10</v>
      </c>
      <c r="C10" s="1" t="s">
        <v>114</v>
      </c>
      <c r="D10" s="1" t="s">
        <v>9</v>
      </c>
      <c r="E10" s="1" t="s">
        <v>54</v>
      </c>
      <c r="F10" s="1">
        <v>40</v>
      </c>
      <c r="G10" s="14">
        <v>3000</v>
      </c>
      <c r="H10" s="1" t="s">
        <v>64</v>
      </c>
    </row>
    <row r="11" spans="1:8" x14ac:dyDescent="0.25">
      <c r="A11" s="13">
        <v>2.2000000000000002</v>
      </c>
      <c r="B11" s="1" t="s">
        <v>14</v>
      </c>
      <c r="C11" s="1" t="s">
        <v>115</v>
      </c>
      <c r="D11" s="1" t="s">
        <v>9</v>
      </c>
      <c r="E11" s="1" t="s">
        <v>54</v>
      </c>
      <c r="F11" s="1">
        <v>20</v>
      </c>
      <c r="G11" s="14">
        <v>1500</v>
      </c>
      <c r="H11" s="1" t="s">
        <v>65</v>
      </c>
    </row>
    <row r="12" spans="1:8" x14ac:dyDescent="0.25">
      <c r="A12" s="13">
        <v>2.2999999999999998</v>
      </c>
      <c r="B12" s="1" t="s">
        <v>32</v>
      </c>
      <c r="C12" s="1" t="s">
        <v>116</v>
      </c>
      <c r="D12" s="1" t="s">
        <v>31</v>
      </c>
      <c r="E12" s="1" t="s">
        <v>54</v>
      </c>
      <c r="F12" s="1">
        <v>40</v>
      </c>
      <c r="G12" s="14">
        <v>2600</v>
      </c>
      <c r="H12" s="1" t="s">
        <v>66</v>
      </c>
    </row>
    <row r="13" spans="1:8" x14ac:dyDescent="0.25">
      <c r="A13" s="13">
        <v>2.4</v>
      </c>
      <c r="B13" s="1" t="s">
        <v>2</v>
      </c>
      <c r="C13" s="1" t="s">
        <v>117</v>
      </c>
      <c r="D13" s="1" t="s">
        <v>111</v>
      </c>
      <c r="E13" s="1" t="s">
        <v>54</v>
      </c>
      <c r="F13" s="1">
        <v>60</v>
      </c>
      <c r="G13" s="14">
        <v>4900</v>
      </c>
      <c r="H13" s="1" t="s">
        <v>67</v>
      </c>
    </row>
    <row r="14" spans="1:8" x14ac:dyDescent="0.25">
      <c r="A14" s="40">
        <v>2.5</v>
      </c>
      <c r="B14" s="6" t="s">
        <v>238</v>
      </c>
      <c r="C14" s="6"/>
      <c r="D14" s="6"/>
      <c r="E14" s="6"/>
      <c r="F14" s="6"/>
      <c r="G14" s="41"/>
      <c r="H14" s="6"/>
    </row>
    <row r="15" spans="1:8" x14ac:dyDescent="0.25">
      <c r="A15" s="31">
        <v>3</v>
      </c>
      <c r="B15" s="5" t="s">
        <v>234</v>
      </c>
      <c r="C15" s="5" t="s">
        <v>118</v>
      </c>
      <c r="D15" s="5" t="s">
        <v>54</v>
      </c>
      <c r="E15" s="5" t="s">
        <v>54</v>
      </c>
      <c r="F15" s="5">
        <f>SUM(F16:F18)</f>
        <v>160</v>
      </c>
      <c r="G15" s="39">
        <f>SUM(G16:G18)</f>
        <v>13600</v>
      </c>
      <c r="H15" s="5" t="s">
        <v>68</v>
      </c>
    </row>
    <row r="16" spans="1:8" x14ac:dyDescent="0.25">
      <c r="A16" s="13">
        <v>3.1</v>
      </c>
      <c r="B16" s="1" t="s">
        <v>26</v>
      </c>
      <c r="C16" s="1" t="s">
        <v>119</v>
      </c>
      <c r="D16" s="1" t="s">
        <v>21</v>
      </c>
      <c r="E16" s="1" t="s">
        <v>54</v>
      </c>
      <c r="F16" s="1">
        <v>40</v>
      </c>
      <c r="G16" s="14">
        <v>3800</v>
      </c>
      <c r="H16" s="1" t="s">
        <v>69</v>
      </c>
    </row>
    <row r="17" spans="1:8" x14ac:dyDescent="0.25">
      <c r="A17" s="13">
        <v>3.2</v>
      </c>
      <c r="B17" s="1" t="s">
        <v>17</v>
      </c>
      <c r="C17" s="1" t="s">
        <v>120</v>
      </c>
      <c r="D17" s="1" t="s">
        <v>16</v>
      </c>
      <c r="E17" s="1" t="s">
        <v>54</v>
      </c>
      <c r="F17" s="1">
        <v>80</v>
      </c>
      <c r="G17" s="14">
        <v>6000</v>
      </c>
      <c r="H17" s="1" t="s">
        <v>70</v>
      </c>
    </row>
    <row r="18" spans="1:8" x14ac:dyDescent="0.25">
      <c r="A18" s="13">
        <v>3.3</v>
      </c>
      <c r="B18" s="1" t="s">
        <v>28</v>
      </c>
      <c r="C18" s="1" t="s">
        <v>121</v>
      </c>
      <c r="D18" s="1" t="s">
        <v>21</v>
      </c>
      <c r="E18" s="1" t="s">
        <v>54</v>
      </c>
      <c r="F18" s="1">
        <v>40</v>
      </c>
      <c r="G18" s="14">
        <v>3800</v>
      </c>
      <c r="H18" s="1" t="s">
        <v>71</v>
      </c>
    </row>
    <row r="19" spans="1:8" x14ac:dyDescent="0.25">
      <c r="A19" s="40">
        <v>3.4</v>
      </c>
      <c r="B19" s="6" t="s">
        <v>239</v>
      </c>
      <c r="C19" s="6"/>
      <c r="D19" s="6"/>
      <c r="E19" s="6"/>
      <c r="F19" s="6"/>
      <c r="G19" s="41"/>
      <c r="H19" s="6"/>
    </row>
    <row r="20" spans="1:8" x14ac:dyDescent="0.25">
      <c r="A20" s="31">
        <v>4</v>
      </c>
      <c r="B20" s="5" t="s">
        <v>235</v>
      </c>
      <c r="C20" s="5"/>
      <c r="D20" s="5"/>
      <c r="E20" s="5"/>
      <c r="F20" s="5">
        <f>SUM(F21:F34)</f>
        <v>232</v>
      </c>
      <c r="G20" s="39">
        <f>SUM(G21:G34)</f>
        <v>52600</v>
      </c>
      <c r="H20" s="5"/>
    </row>
    <row r="21" spans="1:8" x14ac:dyDescent="0.25">
      <c r="A21" s="13">
        <v>4.0999999999999996</v>
      </c>
      <c r="B21" s="1" t="s">
        <v>240</v>
      </c>
      <c r="C21" s="1"/>
      <c r="D21" s="1"/>
      <c r="E21" s="1"/>
      <c r="F21" s="1"/>
      <c r="G21" s="14"/>
      <c r="H21" s="1"/>
    </row>
    <row r="22" spans="1:8" x14ac:dyDescent="0.25">
      <c r="A22" s="13" t="s">
        <v>72</v>
      </c>
      <c r="B22" s="1" t="s">
        <v>23</v>
      </c>
      <c r="C22" s="1" t="s">
        <v>73</v>
      </c>
      <c r="D22" s="1" t="s">
        <v>21</v>
      </c>
      <c r="E22" s="1" t="s">
        <v>122</v>
      </c>
      <c r="F22" s="1">
        <v>8</v>
      </c>
      <c r="G22" s="14">
        <v>32760</v>
      </c>
      <c r="H22" s="1" t="s">
        <v>74</v>
      </c>
    </row>
    <row r="23" spans="1:8" x14ac:dyDescent="0.25">
      <c r="A23" s="13" t="s">
        <v>75</v>
      </c>
      <c r="B23" s="1" t="s">
        <v>27</v>
      </c>
      <c r="C23" s="1" t="s">
        <v>123</v>
      </c>
      <c r="D23" s="1" t="s">
        <v>21</v>
      </c>
      <c r="E23" s="1" t="s">
        <v>54</v>
      </c>
      <c r="F23" s="1">
        <v>8</v>
      </c>
      <c r="G23" s="14">
        <v>760</v>
      </c>
      <c r="H23" s="1" t="s">
        <v>76</v>
      </c>
    </row>
    <row r="24" spans="1:8" x14ac:dyDescent="0.25">
      <c r="A24" s="13">
        <v>4.2</v>
      </c>
      <c r="B24" s="1" t="s">
        <v>241</v>
      </c>
      <c r="C24" s="1"/>
      <c r="D24" s="1"/>
      <c r="E24" s="1"/>
      <c r="F24" s="1"/>
      <c r="G24" s="14"/>
      <c r="H24" s="1"/>
    </row>
    <row r="25" spans="1:8" x14ac:dyDescent="0.25">
      <c r="A25" s="13" t="s">
        <v>77</v>
      </c>
      <c r="B25" s="1" t="s">
        <v>19</v>
      </c>
      <c r="C25" s="1" t="s">
        <v>78</v>
      </c>
      <c r="D25" s="1" t="s">
        <v>124</v>
      </c>
      <c r="E25" s="1" t="s">
        <v>54</v>
      </c>
      <c r="F25" s="1">
        <v>32</v>
      </c>
      <c r="G25" s="14">
        <v>2720</v>
      </c>
      <c r="H25" s="1" t="s">
        <v>79</v>
      </c>
    </row>
    <row r="26" spans="1:8" x14ac:dyDescent="0.25">
      <c r="A26" s="13" t="s">
        <v>80</v>
      </c>
      <c r="B26" s="1" t="s">
        <v>81</v>
      </c>
      <c r="C26" s="1" t="s">
        <v>125</v>
      </c>
      <c r="D26" s="1" t="s">
        <v>21</v>
      </c>
      <c r="E26" s="1" t="s">
        <v>54</v>
      </c>
      <c r="F26" s="1">
        <v>16</v>
      </c>
      <c r="G26" s="14">
        <v>1520</v>
      </c>
      <c r="H26" s="1" t="s">
        <v>82</v>
      </c>
    </row>
    <row r="27" spans="1:8" x14ac:dyDescent="0.25">
      <c r="A27" s="13">
        <v>4.3</v>
      </c>
      <c r="B27" s="1" t="s">
        <v>242</v>
      </c>
      <c r="C27" s="1"/>
      <c r="D27" s="1"/>
      <c r="E27" s="1"/>
      <c r="F27" s="1"/>
      <c r="G27" s="14"/>
      <c r="H27" s="1"/>
    </row>
    <row r="28" spans="1:8" x14ac:dyDescent="0.25">
      <c r="A28" s="13" t="s">
        <v>83</v>
      </c>
      <c r="B28" s="1" t="s">
        <v>11</v>
      </c>
      <c r="C28" s="1" t="s">
        <v>84</v>
      </c>
      <c r="D28" s="1" t="s">
        <v>126</v>
      </c>
      <c r="E28" s="1" t="s">
        <v>54</v>
      </c>
      <c r="F28" s="1">
        <v>32</v>
      </c>
      <c r="G28" s="14">
        <v>2720</v>
      </c>
      <c r="H28" s="1" t="s">
        <v>85</v>
      </c>
    </row>
    <row r="29" spans="1:8" x14ac:dyDescent="0.25">
      <c r="A29" s="13" t="s">
        <v>86</v>
      </c>
      <c r="B29" s="1" t="s">
        <v>25</v>
      </c>
      <c r="C29" s="1" t="s">
        <v>127</v>
      </c>
      <c r="D29" s="1" t="s">
        <v>21</v>
      </c>
      <c r="E29" s="1" t="s">
        <v>54</v>
      </c>
      <c r="F29" s="1">
        <v>16</v>
      </c>
      <c r="G29" s="14">
        <v>1520</v>
      </c>
      <c r="H29" s="1" t="s">
        <v>87</v>
      </c>
    </row>
    <row r="30" spans="1:8" x14ac:dyDescent="0.25">
      <c r="A30" s="13" t="s">
        <v>88</v>
      </c>
      <c r="B30" s="1" t="s">
        <v>29</v>
      </c>
      <c r="C30" s="1" t="s">
        <v>128</v>
      </c>
      <c r="D30" s="1" t="s">
        <v>21</v>
      </c>
      <c r="E30" s="1" t="s">
        <v>54</v>
      </c>
      <c r="F30" s="1">
        <v>24</v>
      </c>
      <c r="G30" s="14">
        <v>2280</v>
      </c>
      <c r="H30" s="1" t="s">
        <v>89</v>
      </c>
    </row>
    <row r="31" spans="1:8" x14ac:dyDescent="0.25">
      <c r="A31" s="13">
        <v>4.4000000000000004</v>
      </c>
      <c r="B31" s="1" t="s">
        <v>243</v>
      </c>
      <c r="C31" s="1"/>
      <c r="D31" s="1"/>
      <c r="E31" s="1"/>
      <c r="F31" s="1"/>
      <c r="G31" s="14"/>
      <c r="H31" s="1"/>
    </row>
    <row r="32" spans="1:8" x14ac:dyDescent="0.25">
      <c r="A32" s="13" t="s">
        <v>90</v>
      </c>
      <c r="B32" s="1" t="s">
        <v>20</v>
      </c>
      <c r="C32" s="1" t="s">
        <v>129</v>
      </c>
      <c r="D32" s="1" t="s">
        <v>124</v>
      </c>
      <c r="E32" s="1" t="s">
        <v>54</v>
      </c>
      <c r="F32" s="1">
        <v>48</v>
      </c>
      <c r="G32" s="14">
        <v>4080</v>
      </c>
      <c r="H32" s="1" t="s">
        <v>91</v>
      </c>
    </row>
    <row r="33" spans="1:8" x14ac:dyDescent="0.25">
      <c r="A33" s="13" t="s">
        <v>92</v>
      </c>
      <c r="B33" s="1" t="s">
        <v>22</v>
      </c>
      <c r="C33" s="1" t="s">
        <v>130</v>
      </c>
      <c r="D33" s="1" t="s">
        <v>21</v>
      </c>
      <c r="E33" s="1" t="s">
        <v>54</v>
      </c>
      <c r="F33" s="1">
        <v>16</v>
      </c>
      <c r="G33" s="14">
        <v>1520</v>
      </c>
      <c r="H33" s="1" t="s">
        <v>93</v>
      </c>
    </row>
    <row r="34" spans="1:8" x14ac:dyDescent="0.25">
      <c r="A34" s="13" t="s">
        <v>94</v>
      </c>
      <c r="B34" s="1" t="s">
        <v>18</v>
      </c>
      <c r="C34" s="1" t="s">
        <v>131</v>
      </c>
      <c r="D34" s="1" t="s">
        <v>124</v>
      </c>
      <c r="E34" s="1" t="s">
        <v>54</v>
      </c>
      <c r="F34" s="1">
        <v>32</v>
      </c>
      <c r="G34" s="14">
        <v>2720</v>
      </c>
      <c r="H34" s="1" t="s">
        <v>95</v>
      </c>
    </row>
    <row r="35" spans="1:8" x14ac:dyDescent="0.25">
      <c r="A35" s="40">
        <v>4.5</v>
      </c>
      <c r="B35" s="6" t="s">
        <v>244</v>
      </c>
      <c r="C35" s="4"/>
      <c r="D35" s="4"/>
      <c r="E35" s="4"/>
      <c r="F35" s="4"/>
      <c r="G35" s="15"/>
      <c r="H35" s="4"/>
    </row>
    <row r="36" spans="1:8" x14ac:dyDescent="0.25">
      <c r="A36" s="31">
        <v>5</v>
      </c>
      <c r="B36" s="5" t="s">
        <v>236</v>
      </c>
      <c r="C36" s="5"/>
      <c r="D36" s="5"/>
      <c r="E36" s="5"/>
      <c r="F36" s="5">
        <f>SUM(F37:F39)</f>
        <v>80</v>
      </c>
      <c r="G36" s="39">
        <f>SUM(G37:G39)</f>
        <v>21640</v>
      </c>
      <c r="H36" s="5"/>
    </row>
    <row r="37" spans="1:8" x14ac:dyDescent="0.25">
      <c r="A37" s="13">
        <v>5.0999999999999996</v>
      </c>
      <c r="B37" s="1" t="s">
        <v>12</v>
      </c>
      <c r="C37" s="1" t="s">
        <v>132</v>
      </c>
      <c r="D37" s="1" t="s">
        <v>133</v>
      </c>
      <c r="E37" s="1" t="s">
        <v>54</v>
      </c>
      <c r="F37" s="1">
        <v>32</v>
      </c>
      <c r="G37" s="14">
        <v>2720</v>
      </c>
      <c r="H37" s="1" t="s">
        <v>96</v>
      </c>
    </row>
    <row r="38" spans="1:8" x14ac:dyDescent="0.25">
      <c r="A38" s="13">
        <v>5.2</v>
      </c>
      <c r="B38" s="1" t="s">
        <v>13</v>
      </c>
      <c r="C38" s="1" t="s">
        <v>134</v>
      </c>
      <c r="D38" s="1" t="s">
        <v>133</v>
      </c>
      <c r="E38" s="1" t="s">
        <v>54</v>
      </c>
      <c r="F38" s="1">
        <v>16</v>
      </c>
      <c r="G38" s="14">
        <v>1360</v>
      </c>
      <c r="H38" s="1" t="s">
        <v>97</v>
      </c>
    </row>
    <row r="39" spans="1:8" x14ac:dyDescent="0.25">
      <c r="A39" s="13">
        <v>5.3</v>
      </c>
      <c r="B39" s="1" t="s">
        <v>24</v>
      </c>
      <c r="C39" s="1" t="s">
        <v>135</v>
      </c>
      <c r="D39" s="1" t="s">
        <v>136</v>
      </c>
      <c r="E39" s="1" t="s">
        <v>40</v>
      </c>
      <c r="F39" s="1">
        <v>32</v>
      </c>
      <c r="G39" s="14">
        <v>17560</v>
      </c>
      <c r="H39" s="1" t="s">
        <v>98</v>
      </c>
    </row>
    <row r="40" spans="1:8" x14ac:dyDescent="0.25">
      <c r="A40" s="13">
        <v>5.4</v>
      </c>
      <c r="B40" s="1" t="s">
        <v>245</v>
      </c>
      <c r="C40" s="1"/>
      <c r="D40" s="1"/>
      <c r="E40" s="1"/>
      <c r="F40" s="1"/>
      <c r="G40" s="14"/>
      <c r="H40" s="1"/>
    </row>
    <row r="41" spans="1:8" x14ac:dyDescent="0.25">
      <c r="A41" s="31">
        <v>6</v>
      </c>
      <c r="B41" s="5" t="s">
        <v>237</v>
      </c>
      <c r="C41" s="5"/>
      <c r="D41" s="5"/>
      <c r="E41" s="5"/>
      <c r="F41" s="5">
        <f>SUM(F42:F44)</f>
        <v>80</v>
      </c>
      <c r="G41" s="39">
        <f>SUM(G42:G44)</f>
        <v>54020</v>
      </c>
      <c r="H41" s="5"/>
    </row>
    <row r="42" spans="1:8" x14ac:dyDescent="0.25">
      <c r="A42" s="13">
        <v>6.1</v>
      </c>
      <c r="B42" s="1" t="s">
        <v>6</v>
      </c>
      <c r="C42" s="1" t="s">
        <v>99</v>
      </c>
      <c r="D42" s="1" t="s">
        <v>137</v>
      </c>
      <c r="E42" s="1" t="s">
        <v>138</v>
      </c>
      <c r="F42" s="1">
        <v>24</v>
      </c>
      <c r="G42" s="14">
        <v>49660</v>
      </c>
      <c r="H42" s="1" t="s">
        <v>100</v>
      </c>
    </row>
    <row r="43" spans="1:8" x14ac:dyDescent="0.25">
      <c r="A43" s="13">
        <v>6.2</v>
      </c>
      <c r="B43" s="1" t="s">
        <v>15</v>
      </c>
      <c r="C43" s="1" t="s">
        <v>139</v>
      </c>
      <c r="D43" s="1" t="s">
        <v>140</v>
      </c>
      <c r="E43" s="1" t="s">
        <v>54</v>
      </c>
      <c r="F43" s="1">
        <v>16</v>
      </c>
      <c r="G43" s="14">
        <v>1200</v>
      </c>
      <c r="H43" s="1" t="s">
        <v>101</v>
      </c>
    </row>
    <row r="44" spans="1:8" x14ac:dyDescent="0.25">
      <c r="A44" s="13">
        <v>6.3</v>
      </c>
      <c r="B44" s="1" t="s">
        <v>3</v>
      </c>
      <c r="C44" s="1" t="s">
        <v>141</v>
      </c>
      <c r="D44" s="1" t="s">
        <v>107</v>
      </c>
      <c r="E44" s="1" t="s">
        <v>54</v>
      </c>
      <c r="F44" s="1">
        <v>40</v>
      </c>
      <c r="G44" s="14">
        <v>3160</v>
      </c>
      <c r="H44" s="1" t="s">
        <v>102</v>
      </c>
    </row>
    <row r="45" spans="1:8" x14ac:dyDescent="0.25">
      <c r="A45" s="45">
        <v>6.4</v>
      </c>
      <c r="B45" s="46" t="s">
        <v>246</v>
      </c>
      <c r="C45" s="46"/>
      <c r="D45" s="46"/>
      <c r="E45" s="46"/>
      <c r="F45" s="46"/>
      <c r="G45" s="47"/>
      <c r="H45" s="46"/>
    </row>
    <row r="47" spans="1:8" x14ac:dyDescent="0.25">
      <c r="G4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FAA3-69D3-458A-9DE4-E849EEC2C192}">
  <dimension ref="A1:H18"/>
  <sheetViews>
    <sheetView workbookViewId="0">
      <selection activeCell="F12" sqref="F12"/>
    </sheetView>
  </sheetViews>
  <sheetFormatPr defaultRowHeight="15" x14ac:dyDescent="0.25"/>
  <cols>
    <col min="1" max="1" width="27" bestFit="1" customWidth="1"/>
    <col min="2" max="2" width="8.7109375" bestFit="1" customWidth="1"/>
    <col min="3" max="3" width="7" bestFit="1" customWidth="1"/>
    <col min="5" max="5" width="31" bestFit="1" customWidth="1"/>
    <col min="6" max="6" width="10.140625" bestFit="1" customWidth="1"/>
    <col min="7" max="7" width="6.5703125" bestFit="1" customWidth="1"/>
    <col min="8" max="8" width="8.7109375" bestFit="1" customWidth="1"/>
  </cols>
  <sheetData>
    <row r="1" spans="1:8" x14ac:dyDescent="0.25">
      <c r="A1" s="51" t="s">
        <v>190</v>
      </c>
      <c r="B1" s="51"/>
      <c r="C1" s="51"/>
    </row>
    <row r="2" spans="1:8" x14ac:dyDescent="0.25">
      <c r="A2" s="5" t="s">
        <v>179</v>
      </c>
      <c r="B2" s="5" t="s">
        <v>164</v>
      </c>
      <c r="C2" s="5" t="s">
        <v>180</v>
      </c>
    </row>
    <row r="3" spans="1:8" x14ac:dyDescent="0.25">
      <c r="A3" s="4" t="s">
        <v>184</v>
      </c>
      <c r="B3" s="4" t="s">
        <v>145</v>
      </c>
      <c r="C3" s="4">
        <v>4.96</v>
      </c>
      <c r="E3" s="2"/>
      <c r="F3" s="2" t="s">
        <v>205</v>
      </c>
      <c r="G3" s="2" t="s">
        <v>204</v>
      </c>
      <c r="H3" s="2" t="s">
        <v>202</v>
      </c>
    </row>
    <row r="4" spans="1:8" x14ac:dyDescent="0.25">
      <c r="A4" s="4" t="s">
        <v>185</v>
      </c>
      <c r="B4" s="4" t="s">
        <v>181</v>
      </c>
      <c r="C4" s="4">
        <v>1.21</v>
      </c>
      <c r="E4" s="9" t="s">
        <v>200</v>
      </c>
      <c r="F4" s="25">
        <v>2</v>
      </c>
      <c r="G4" s="25"/>
      <c r="H4" s="25"/>
    </row>
    <row r="5" spans="1:8" x14ac:dyDescent="0.25">
      <c r="A5" s="4" t="s">
        <v>186</v>
      </c>
      <c r="B5" s="4" t="s">
        <v>181</v>
      </c>
      <c r="C5" s="4">
        <v>1.41</v>
      </c>
      <c r="E5" s="9" t="s">
        <v>203</v>
      </c>
      <c r="F5" s="26">
        <f>2.94*(F4^C9)*C18</f>
        <v>4.437211867936047</v>
      </c>
      <c r="G5" s="26">
        <f>G6/152</f>
        <v>5.2105263157894735</v>
      </c>
      <c r="H5" s="25"/>
    </row>
    <row r="6" spans="1:8" x14ac:dyDescent="0.25">
      <c r="A6" s="4" t="s">
        <v>187</v>
      </c>
      <c r="B6" s="4" t="s">
        <v>182</v>
      </c>
      <c r="C6" s="4">
        <v>3.29</v>
      </c>
      <c r="E6" s="9" t="s">
        <v>201</v>
      </c>
      <c r="F6" s="27">
        <f>F5*152</f>
        <v>674.45620392627916</v>
      </c>
      <c r="G6" s="25">
        <f>'Resourse Usage Baseline'!D2</f>
        <v>792</v>
      </c>
      <c r="H6" s="28">
        <f>((G6-F6)/G6)</f>
        <v>0.14841388393146571</v>
      </c>
    </row>
    <row r="7" spans="1:8" x14ac:dyDescent="0.25">
      <c r="A7" s="4" t="s">
        <v>188</v>
      </c>
      <c r="B7" s="4" t="s">
        <v>183</v>
      </c>
      <c r="C7" s="4">
        <v>3.12</v>
      </c>
    </row>
    <row r="8" spans="1:8" x14ac:dyDescent="0.25">
      <c r="A8" s="4" t="s">
        <v>189</v>
      </c>
      <c r="B8" s="4"/>
      <c r="C8" s="4">
        <f>SUM(C3:C7)</f>
        <v>13.990000000000002</v>
      </c>
    </row>
    <row r="9" spans="1:8" x14ac:dyDescent="0.25">
      <c r="A9" s="52" t="s">
        <v>179</v>
      </c>
      <c r="B9" s="52"/>
      <c r="C9" s="21">
        <f>0.91+(0.01*C8)</f>
        <v>1.0499000000000001</v>
      </c>
    </row>
    <row r="11" spans="1:8" x14ac:dyDescent="0.25">
      <c r="A11" s="51" t="s">
        <v>191</v>
      </c>
      <c r="B11" s="51"/>
      <c r="C11" s="51"/>
    </row>
    <row r="12" spans="1:8" x14ac:dyDescent="0.25">
      <c r="A12" s="5" t="s">
        <v>192</v>
      </c>
      <c r="B12" s="5" t="s">
        <v>164</v>
      </c>
      <c r="C12" s="5" t="s">
        <v>193</v>
      </c>
    </row>
    <row r="13" spans="1:8" x14ac:dyDescent="0.25">
      <c r="A13" s="4" t="s">
        <v>194</v>
      </c>
      <c r="B13" s="4" t="s">
        <v>183</v>
      </c>
      <c r="C13" s="4">
        <v>1.33</v>
      </c>
    </row>
    <row r="14" spans="1:8" x14ac:dyDescent="0.25">
      <c r="A14" s="4" t="s">
        <v>195</v>
      </c>
      <c r="B14" s="4" t="s">
        <v>181</v>
      </c>
      <c r="C14" s="4">
        <v>0.63</v>
      </c>
    </row>
    <row r="15" spans="1:8" x14ac:dyDescent="0.25">
      <c r="A15" s="4" t="s">
        <v>196</v>
      </c>
      <c r="B15" s="4" t="s">
        <v>182</v>
      </c>
      <c r="C15" s="4">
        <v>1</v>
      </c>
    </row>
    <row r="16" spans="1:8" x14ac:dyDescent="0.25">
      <c r="A16" s="4" t="s">
        <v>197</v>
      </c>
      <c r="B16" s="4" t="s">
        <v>183</v>
      </c>
      <c r="C16" s="4">
        <v>0.87</v>
      </c>
    </row>
    <row r="17" spans="1:3" x14ac:dyDescent="0.25">
      <c r="A17" s="4" t="s">
        <v>198</v>
      </c>
      <c r="B17" s="4" t="s">
        <v>182</v>
      </c>
      <c r="C17" s="4">
        <v>1</v>
      </c>
    </row>
    <row r="18" spans="1:3" x14ac:dyDescent="0.25">
      <c r="A18" s="52" t="s">
        <v>199</v>
      </c>
      <c r="B18" s="52"/>
      <c r="C18" s="21">
        <f>C13*C14*C15*C16*C17</f>
        <v>0.72897300000000009</v>
      </c>
    </row>
  </sheetData>
  <mergeCells count="4">
    <mergeCell ref="A1:C1"/>
    <mergeCell ref="A9:B9"/>
    <mergeCell ref="A11:C11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7386-4C3B-46E4-BC9B-7F4F5001463C}">
  <dimension ref="A1:I18"/>
  <sheetViews>
    <sheetView workbookViewId="0">
      <selection activeCell="B27" sqref="B27"/>
    </sheetView>
  </sheetViews>
  <sheetFormatPr defaultRowHeight="15" x14ac:dyDescent="0.25"/>
  <cols>
    <col min="1" max="1" width="25.7109375" bestFit="1" customWidth="1"/>
    <col min="2" max="2" width="69.28515625" bestFit="1" customWidth="1"/>
    <col min="3" max="3" width="6.5703125" bestFit="1" customWidth="1"/>
    <col min="4" max="4" width="11.42578125" bestFit="1" customWidth="1"/>
    <col min="5" max="5" width="7.42578125" bestFit="1" customWidth="1"/>
    <col min="6" max="6" width="7" bestFit="1" customWidth="1"/>
    <col min="8" max="8" width="24.140625" bestFit="1" customWidth="1"/>
    <col min="9" max="9" width="6.5703125" bestFit="1" customWidth="1"/>
  </cols>
  <sheetData>
    <row r="1" spans="1:9" x14ac:dyDescent="0.25">
      <c r="A1" s="2" t="s">
        <v>157</v>
      </c>
      <c r="B1" s="2" t="s">
        <v>158</v>
      </c>
      <c r="C1" s="2" t="s">
        <v>142</v>
      </c>
      <c r="D1" s="2" t="s">
        <v>143</v>
      </c>
      <c r="E1" s="2" t="s">
        <v>144</v>
      </c>
      <c r="F1" s="2" t="s">
        <v>159</v>
      </c>
      <c r="H1" s="2" t="s">
        <v>162</v>
      </c>
      <c r="I1" s="12"/>
    </row>
    <row r="2" spans="1:9" x14ac:dyDescent="0.25">
      <c r="A2" s="4" t="s">
        <v>146</v>
      </c>
      <c r="B2" s="4" t="s">
        <v>147</v>
      </c>
      <c r="C2" s="4">
        <v>5</v>
      </c>
      <c r="D2" s="4" t="s">
        <v>145</v>
      </c>
      <c r="E2" s="4">
        <v>7</v>
      </c>
      <c r="F2" s="4">
        <f>C2*E2</f>
        <v>35</v>
      </c>
      <c r="H2" s="17" t="s">
        <v>163</v>
      </c>
      <c r="I2" s="18" t="s">
        <v>164</v>
      </c>
    </row>
    <row r="3" spans="1:9" x14ac:dyDescent="0.25">
      <c r="A3" s="4" t="s">
        <v>148</v>
      </c>
      <c r="B3" s="4" t="s">
        <v>149</v>
      </c>
      <c r="C3" s="4">
        <v>2</v>
      </c>
      <c r="D3" s="4" t="s">
        <v>145</v>
      </c>
      <c r="E3" s="4">
        <v>5</v>
      </c>
      <c r="F3" s="4">
        <f t="shared" ref="F3:F6" si="0">C3*E3</f>
        <v>10</v>
      </c>
      <c r="H3" s="4" t="s">
        <v>165</v>
      </c>
      <c r="I3" s="19">
        <v>5</v>
      </c>
    </row>
    <row r="4" spans="1:9" x14ac:dyDescent="0.25">
      <c r="A4" s="4" t="s">
        <v>150</v>
      </c>
      <c r="B4" s="4" t="s">
        <v>151</v>
      </c>
      <c r="C4" s="4">
        <v>8</v>
      </c>
      <c r="D4" s="4" t="s">
        <v>160</v>
      </c>
      <c r="E4" s="4">
        <v>4</v>
      </c>
      <c r="F4" s="4">
        <f t="shared" si="0"/>
        <v>32</v>
      </c>
      <c r="H4" s="4" t="s">
        <v>166</v>
      </c>
      <c r="I4" s="20">
        <v>4</v>
      </c>
    </row>
    <row r="5" spans="1:9" x14ac:dyDescent="0.25">
      <c r="A5" s="4" t="s">
        <v>152</v>
      </c>
      <c r="B5" s="4" t="s">
        <v>153</v>
      </c>
      <c r="C5" s="4">
        <v>4</v>
      </c>
      <c r="D5" s="4" t="s">
        <v>160</v>
      </c>
      <c r="E5" s="4">
        <v>5</v>
      </c>
      <c r="F5" s="4">
        <f t="shared" si="0"/>
        <v>20</v>
      </c>
      <c r="H5" s="4" t="s">
        <v>167</v>
      </c>
      <c r="I5" s="20">
        <v>4</v>
      </c>
    </row>
    <row r="6" spans="1:9" x14ac:dyDescent="0.25">
      <c r="A6" s="4" t="s">
        <v>154</v>
      </c>
      <c r="B6" s="4" t="s">
        <v>155</v>
      </c>
      <c r="C6" s="4">
        <v>6</v>
      </c>
      <c r="D6" s="4" t="s">
        <v>145</v>
      </c>
      <c r="E6" s="4">
        <v>3</v>
      </c>
      <c r="F6" s="4">
        <f t="shared" si="0"/>
        <v>18</v>
      </c>
      <c r="H6" s="4" t="s">
        <v>168</v>
      </c>
      <c r="I6" s="20">
        <v>3</v>
      </c>
    </row>
    <row r="7" spans="1:9" x14ac:dyDescent="0.25">
      <c r="A7" s="52" t="s">
        <v>156</v>
      </c>
      <c r="B7" s="52"/>
      <c r="C7" s="52"/>
      <c r="D7" s="52"/>
      <c r="E7" s="52"/>
      <c r="F7" s="21">
        <f>SUM(F2:F6)</f>
        <v>115</v>
      </c>
      <c r="H7" s="4" t="s">
        <v>169</v>
      </c>
      <c r="I7" s="20">
        <v>3</v>
      </c>
    </row>
    <row r="8" spans="1:9" x14ac:dyDescent="0.25">
      <c r="A8" s="53" t="s">
        <v>161</v>
      </c>
      <c r="B8" s="53"/>
      <c r="C8" s="53"/>
      <c r="D8" s="53"/>
      <c r="E8" s="53"/>
      <c r="F8" s="7">
        <f>F7*I18</f>
        <v>134.54999999999998</v>
      </c>
      <c r="H8" s="4" t="s">
        <v>170</v>
      </c>
      <c r="I8" s="20">
        <v>5</v>
      </c>
    </row>
    <row r="9" spans="1:9" x14ac:dyDescent="0.25">
      <c r="H9" s="4" t="s">
        <v>171</v>
      </c>
      <c r="I9" s="20">
        <v>4</v>
      </c>
    </row>
    <row r="10" spans="1:9" x14ac:dyDescent="0.25">
      <c r="H10" s="4" t="s">
        <v>172</v>
      </c>
      <c r="I10" s="20">
        <v>4</v>
      </c>
    </row>
    <row r="11" spans="1:9" x14ac:dyDescent="0.25">
      <c r="H11" s="4" t="s">
        <v>173</v>
      </c>
      <c r="I11" s="20">
        <v>4</v>
      </c>
    </row>
    <row r="12" spans="1:9" x14ac:dyDescent="0.25">
      <c r="H12" s="4" t="s">
        <v>174</v>
      </c>
      <c r="I12" s="20">
        <v>3</v>
      </c>
    </row>
    <row r="13" spans="1:9" x14ac:dyDescent="0.25">
      <c r="H13" s="4" t="s">
        <v>175</v>
      </c>
      <c r="I13" s="20">
        <v>2</v>
      </c>
    </row>
    <row r="14" spans="1:9" x14ac:dyDescent="0.25">
      <c r="H14" s="4" t="s">
        <v>176</v>
      </c>
      <c r="I14" s="20">
        <v>3</v>
      </c>
    </row>
    <row r="15" spans="1:9" x14ac:dyDescent="0.25">
      <c r="H15" s="4" t="s">
        <v>177</v>
      </c>
      <c r="I15" s="20">
        <v>5</v>
      </c>
    </row>
    <row r="16" spans="1:9" x14ac:dyDescent="0.25">
      <c r="H16" s="4" t="s">
        <v>178</v>
      </c>
      <c r="I16" s="20">
        <v>3</v>
      </c>
    </row>
    <row r="17" spans="8:9" x14ac:dyDescent="0.25">
      <c r="H17" s="21" t="s">
        <v>206</v>
      </c>
      <c r="I17" s="22">
        <f>SUM(I3:I16)</f>
        <v>52</v>
      </c>
    </row>
    <row r="18" spans="8:9" x14ac:dyDescent="0.25">
      <c r="H18" s="7" t="s">
        <v>207</v>
      </c>
      <c r="I18" s="23">
        <f>0.65+(0.01*I17)</f>
        <v>1.17</v>
      </c>
    </row>
  </sheetData>
  <mergeCells count="2">
    <mergeCell ref="A7:E7"/>
    <mergeCell ref="A8:E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7462-0E69-4F6F-9B10-8E04DB60DE56}">
  <dimension ref="A1:J31"/>
  <sheetViews>
    <sheetView workbookViewId="0">
      <selection activeCell="D32" sqref="D32"/>
    </sheetView>
  </sheetViews>
  <sheetFormatPr defaultRowHeight="15" x14ac:dyDescent="0.25"/>
  <cols>
    <col min="1" max="1" width="26.85546875" bestFit="1" customWidth="1"/>
    <col min="2" max="5" width="14.28515625" bestFit="1" customWidth="1"/>
  </cols>
  <sheetData>
    <row r="1" spans="1:10" x14ac:dyDescent="0.25">
      <c r="A1" s="54" t="s">
        <v>208</v>
      </c>
      <c r="B1" s="54"/>
      <c r="C1" s="54"/>
      <c r="D1" s="54"/>
      <c r="E1" s="30">
        <v>0.08</v>
      </c>
    </row>
    <row r="2" spans="1:10" x14ac:dyDescent="0.25">
      <c r="A2" s="2"/>
      <c r="B2" s="55" t="s">
        <v>209</v>
      </c>
      <c r="C2" s="55"/>
      <c r="D2" s="55"/>
      <c r="E2" s="31" t="s">
        <v>159</v>
      </c>
    </row>
    <row r="3" spans="1:10" x14ac:dyDescent="0.25">
      <c r="A3" s="2"/>
      <c r="B3" s="4">
        <v>0</v>
      </c>
      <c r="C3" s="4">
        <v>1</v>
      </c>
      <c r="D3" s="4">
        <v>2</v>
      </c>
      <c r="E3" s="6"/>
    </row>
    <row r="4" spans="1:10" x14ac:dyDescent="0.25">
      <c r="A4" s="2" t="s">
        <v>210</v>
      </c>
      <c r="B4" s="32">
        <f>B21</f>
        <v>170340</v>
      </c>
      <c r="C4" s="32">
        <f>B31</f>
        <v>15500</v>
      </c>
      <c r="D4" s="32">
        <f>B31</f>
        <v>15500</v>
      </c>
      <c r="E4" s="6"/>
    </row>
    <row r="5" spans="1:10" x14ac:dyDescent="0.25">
      <c r="A5" s="2" t="s">
        <v>211</v>
      </c>
      <c r="B5" s="33">
        <f>1/(1+$E$1)^$B$3</f>
        <v>1</v>
      </c>
      <c r="C5" s="33">
        <f>1/(1+$E$1)^$C$3</f>
        <v>0.92592592592592582</v>
      </c>
      <c r="D5" s="33">
        <f>1/(1+$E$1)^$D$3</f>
        <v>0.85733882030178321</v>
      </c>
      <c r="E5" s="6"/>
    </row>
    <row r="6" spans="1:10" x14ac:dyDescent="0.25">
      <c r="A6" s="2" t="s">
        <v>212</v>
      </c>
      <c r="B6" s="35">
        <f>B4*B5</f>
        <v>170340</v>
      </c>
      <c r="C6" s="36">
        <f>C4*C5</f>
        <v>14351.85185185185</v>
      </c>
      <c r="D6" s="36">
        <f>D4*D5</f>
        <v>13288.751714677639</v>
      </c>
      <c r="E6" s="37">
        <f>SUM(B6:D6)</f>
        <v>197980.60356652949</v>
      </c>
    </row>
    <row r="7" spans="1:10" x14ac:dyDescent="0.25">
      <c r="A7" s="2"/>
      <c r="B7" s="4"/>
      <c r="C7" s="4"/>
      <c r="D7" s="4"/>
      <c r="E7" s="6"/>
    </row>
    <row r="8" spans="1:10" x14ac:dyDescent="0.25">
      <c r="A8" s="2" t="s">
        <v>213</v>
      </c>
      <c r="B8" s="32">
        <f>B26</f>
        <v>1733750</v>
      </c>
      <c r="C8" s="32">
        <f>B26</f>
        <v>1733750</v>
      </c>
      <c r="D8" s="32">
        <f>B26</f>
        <v>1733750</v>
      </c>
      <c r="E8" s="6"/>
    </row>
    <row r="9" spans="1:10" x14ac:dyDescent="0.25">
      <c r="A9" s="2" t="s">
        <v>211</v>
      </c>
      <c r="B9" s="33">
        <f>1/(1+$E$1)^$B$3</f>
        <v>1</v>
      </c>
      <c r="C9" s="33">
        <f>1/(1+$E$1)^$C$3</f>
        <v>0.92592592592592582</v>
      </c>
      <c r="D9" s="33">
        <f>1/(1+$E$1)^$D$3</f>
        <v>0.85733882030178321</v>
      </c>
      <c r="E9" s="6"/>
    </row>
    <row r="10" spans="1:10" x14ac:dyDescent="0.25">
      <c r="A10" s="2" t="s">
        <v>214</v>
      </c>
      <c r="B10" s="36">
        <f>B8*B9</f>
        <v>1733750</v>
      </c>
      <c r="C10" s="36">
        <f>C8*C9</f>
        <v>1605324.0740740739</v>
      </c>
      <c r="D10" s="36">
        <f>D8*D9</f>
        <v>1486411.1796982167</v>
      </c>
      <c r="E10" s="37">
        <f>SUM(B10:D10)</f>
        <v>4825485.2537722904</v>
      </c>
      <c r="J10" s="16"/>
    </row>
    <row r="11" spans="1:10" x14ac:dyDescent="0.25">
      <c r="A11" s="2"/>
      <c r="B11" s="4"/>
      <c r="C11" s="4"/>
      <c r="D11" s="4"/>
      <c r="E11" s="6"/>
    </row>
    <row r="12" spans="1:10" x14ac:dyDescent="0.25">
      <c r="A12" s="2" t="s">
        <v>216</v>
      </c>
      <c r="B12" s="34">
        <f>B10-B6</f>
        <v>1563410</v>
      </c>
      <c r="C12" s="34">
        <f>C10-C6</f>
        <v>1590972.222222222</v>
      </c>
      <c r="D12" s="34">
        <f>D10-D6</f>
        <v>1473122.4279835392</v>
      </c>
      <c r="E12" s="6"/>
    </row>
    <row r="13" spans="1:10" x14ac:dyDescent="0.25">
      <c r="A13" s="2" t="s">
        <v>215</v>
      </c>
      <c r="B13" s="34">
        <f>B10-B6</f>
        <v>1563410</v>
      </c>
      <c r="C13" s="34">
        <f>B13+C10</f>
        <v>3168734.0740740737</v>
      </c>
      <c r="D13" s="34">
        <f>C13+D10</f>
        <v>4655145.2537722904</v>
      </c>
      <c r="E13" s="6"/>
    </row>
    <row r="14" spans="1:10" x14ac:dyDescent="0.25">
      <c r="A14" s="2"/>
      <c r="B14" s="4"/>
      <c r="C14" s="4"/>
      <c r="D14" s="4"/>
      <c r="E14" s="6"/>
    </row>
    <row r="15" spans="1:10" x14ac:dyDescent="0.25">
      <c r="A15" s="54" t="s">
        <v>217</v>
      </c>
      <c r="B15" s="54"/>
      <c r="C15" s="54"/>
      <c r="D15" s="54"/>
      <c r="E15" s="38">
        <f>(E10/E6)-1</f>
        <v>23.373525319366614</v>
      </c>
    </row>
    <row r="17" spans="1:2" x14ac:dyDescent="0.25">
      <c r="A17" s="51" t="s">
        <v>218</v>
      </c>
      <c r="B17" s="51"/>
    </row>
    <row r="18" spans="1:2" x14ac:dyDescent="0.25">
      <c r="A18" s="5" t="s">
        <v>219</v>
      </c>
      <c r="B18" s="3"/>
    </row>
    <row r="19" spans="1:2" x14ac:dyDescent="0.25">
      <c r="A19" s="4" t="s">
        <v>220</v>
      </c>
      <c r="B19" s="32">
        <f>'Resourse Usage Baseline'!E2</f>
        <v>65640</v>
      </c>
    </row>
    <row r="20" spans="1:2" x14ac:dyDescent="0.25">
      <c r="A20" s="4" t="s">
        <v>221</v>
      </c>
      <c r="B20" s="32">
        <f>'Resourse Usage Baseline'!E56</f>
        <v>104700</v>
      </c>
    </row>
    <row r="21" spans="1:2" x14ac:dyDescent="0.25">
      <c r="A21" s="24" t="s">
        <v>222</v>
      </c>
      <c r="B21" s="48">
        <f>SUM(B19:B20)</f>
        <v>170340</v>
      </c>
    </row>
    <row r="23" spans="1:2" x14ac:dyDescent="0.25">
      <c r="A23" s="5" t="s">
        <v>223</v>
      </c>
      <c r="B23" s="3"/>
    </row>
    <row r="24" spans="1:2" x14ac:dyDescent="0.25">
      <c r="A24" s="4" t="s">
        <v>224</v>
      </c>
      <c r="B24" s="32">
        <v>1186250</v>
      </c>
    </row>
    <row r="25" spans="1:2" x14ac:dyDescent="0.25">
      <c r="A25" s="4" t="s">
        <v>225</v>
      </c>
      <c r="B25" s="32">
        <v>547500</v>
      </c>
    </row>
    <row r="26" spans="1:2" x14ac:dyDescent="0.25">
      <c r="A26" s="24" t="s">
        <v>226</v>
      </c>
      <c r="B26" s="48">
        <f>SUM(B24:B25)</f>
        <v>1733750</v>
      </c>
    </row>
    <row r="28" spans="1:2" x14ac:dyDescent="0.25">
      <c r="A28" s="5" t="s">
        <v>227</v>
      </c>
      <c r="B28" s="3"/>
    </row>
    <row r="29" spans="1:2" x14ac:dyDescent="0.25">
      <c r="A29" s="4" t="s">
        <v>228</v>
      </c>
      <c r="B29" s="32">
        <v>15000</v>
      </c>
    </row>
    <row r="30" spans="1:2" x14ac:dyDescent="0.25">
      <c r="A30" s="4" t="s">
        <v>229</v>
      </c>
      <c r="B30" s="32">
        <v>500</v>
      </c>
    </row>
    <row r="31" spans="1:2" x14ac:dyDescent="0.25">
      <c r="A31" s="24" t="s">
        <v>230</v>
      </c>
      <c r="B31" s="48">
        <f>SUM(B29:B30)</f>
        <v>15500</v>
      </c>
    </row>
  </sheetData>
  <mergeCells count="4">
    <mergeCell ref="A15:D15"/>
    <mergeCell ref="B2:D2"/>
    <mergeCell ref="A1:D1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Resourse Usage Baseline</vt:lpstr>
      <vt:lpstr>WBS Dictionary</vt:lpstr>
      <vt:lpstr>Cocomo II</vt:lpstr>
      <vt:lpstr>Function Point Analysis</vt:lpstr>
      <vt:lpstr>Financial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Richard Masters</dc:creator>
  <cp:lastModifiedBy>Adam Richard Masters</cp:lastModifiedBy>
  <dcterms:created xsi:type="dcterms:W3CDTF">2026-04-17T06:50:20Z</dcterms:created>
  <dcterms:modified xsi:type="dcterms:W3CDTF">2026-04-25T02:45:25Z</dcterms:modified>
</cp:coreProperties>
</file>